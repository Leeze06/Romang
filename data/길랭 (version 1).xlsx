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BB24936A-EC29-4FD5-8E51-8B37159B6247}" xr6:coauthVersionLast="47" xr6:coauthVersionMax="47" xr10:uidLastSave="{00000000-0000-0000-0000-000000000000}"/>
  <bookViews>
    <workbookView xWindow="-98" yWindow="-98" windowWidth="21795" windowHeight="12975" firstSheet="19" activeTab="24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  <sheet name="7월 4주차" sheetId="31" r:id="rId23"/>
    <sheet name="7월 5주차" sheetId="32" r:id="rId24"/>
    <sheet name="8월 1주차" sheetId="33" r:id="rId25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3" l="1" a="1"/>
  <c r="I16" i="33"/>
  <c r="I19" i="33" a="1"/>
  <c r="I19" i="33" s="1"/>
  <c r="I18" i="33" a="1"/>
  <c r="I18" i="33"/>
  <c r="I20" i="33" a="1"/>
  <c r="I20" i="33" s="1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 a="1"/>
  <c r="B20" i="33" s="1"/>
  <c r="I17" i="33" a="1"/>
  <c r="I17" i="33" s="1"/>
  <c r="I6" i="33" a="1"/>
  <c r="I6" i="33" s="1"/>
  <c r="I15" i="33" a="1"/>
  <c r="I15" i="33" s="1"/>
  <c r="I13" i="33" a="1"/>
  <c r="I13" i="33" s="1"/>
  <c r="I12" i="33" a="1"/>
  <c r="I12" i="33" s="1"/>
  <c r="I8" i="33" a="1"/>
  <c r="I8" i="33" s="1"/>
  <c r="I10" i="33" a="1"/>
  <c r="I10" i="33" s="1"/>
  <c r="I14" i="33" a="1"/>
  <c r="I14" i="33" s="1"/>
  <c r="I11" i="33" a="1"/>
  <c r="I11" i="33" s="1"/>
  <c r="I5" i="33" a="1"/>
  <c r="I5" i="33" s="1"/>
  <c r="I7" i="33" a="1"/>
  <c r="I7" i="33" s="1"/>
  <c r="I9" i="33" a="1"/>
  <c r="I9" i="33" s="1"/>
  <c r="I4" i="33" a="1"/>
  <c r="I4" i="33" s="1"/>
  <c r="I3" i="33" a="1"/>
  <c r="I3" i="33" s="1"/>
  <c r="I2" i="33" a="1"/>
  <c r="I2" i="33" s="1"/>
  <c r="I18" i="32" a="1"/>
  <c r="I18" i="32" s="1"/>
  <c r="H18" i="32" a="1"/>
  <c r="H18" i="32" s="1"/>
  <c r="G18" i="32" a="1"/>
  <c r="G18" i="32" s="1"/>
  <c r="F18" i="32" a="1"/>
  <c r="F18" i="32" s="1"/>
  <c r="E18" i="32" a="1"/>
  <c r="E18" i="32" s="1"/>
  <c r="D18" i="32" a="1"/>
  <c r="D18" i="32" s="1"/>
  <c r="C18" i="32" a="1"/>
  <c r="C18" i="32" s="1"/>
  <c r="B18" i="32" a="1"/>
  <c r="B18" i="32" s="1"/>
  <c r="I17" i="32" a="1"/>
  <c r="I17" i="32" s="1"/>
  <c r="I16" i="32" a="1"/>
  <c r="I16" i="32" s="1"/>
  <c r="I15" i="32" a="1"/>
  <c r="I15" i="32" s="1"/>
  <c r="I9" i="32" a="1"/>
  <c r="I9" i="32" s="1"/>
  <c r="I10" i="32" a="1"/>
  <c r="I10" i="32" s="1"/>
  <c r="I13" i="32" a="1"/>
  <c r="I13" i="32" s="1"/>
  <c r="I6" i="32" a="1"/>
  <c r="I6" i="32" s="1"/>
  <c r="I11" i="32" a="1"/>
  <c r="I11" i="32" s="1"/>
  <c r="I12" i="32" a="1"/>
  <c r="I12" i="32" s="1"/>
  <c r="I7" i="32" a="1"/>
  <c r="I7" i="32" s="1"/>
  <c r="I14" i="32" a="1"/>
  <c r="I14" i="32" s="1"/>
  <c r="I5" i="32" a="1"/>
  <c r="I5" i="32" s="1"/>
  <c r="I2" i="32" a="1"/>
  <c r="I2" i="32" s="1"/>
  <c r="I8" i="32" a="1"/>
  <c r="I8" i="32" s="1"/>
  <c r="I3" i="32" a="1"/>
  <c r="I3" i="32" s="1"/>
  <c r="I4" i="32" a="1"/>
  <c r="I4" i="32" s="1"/>
  <c r="I11" i="31" a="1"/>
  <c r="I11" i="31" s="1"/>
  <c r="I16" i="31" a="1"/>
  <c r="I16" i="31" s="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D23" i="31" a="1"/>
  <c r="D23" i="31" s="1"/>
  <c r="C23" i="31" a="1"/>
  <c r="C23" i="31" s="1"/>
  <c r="B23" i="31" a="1"/>
  <c r="B23" i="31" s="1"/>
  <c r="I22" i="31" a="1"/>
  <c r="I22" i="31" s="1"/>
  <c r="I20" i="31" a="1"/>
  <c r="I20" i="31" s="1"/>
  <c r="I21" i="31" a="1"/>
  <c r="I21" i="31" s="1"/>
  <c r="I19" i="31" a="1"/>
  <c r="I19" i="31" s="1"/>
  <c r="I9" i="31" a="1"/>
  <c r="I9" i="31" s="1"/>
  <c r="I6" i="31" a="1"/>
  <c r="I6" i="31" s="1"/>
  <c r="I4" i="31" a="1"/>
  <c r="I4" i="31" s="1"/>
  <c r="I18" i="31" a="1"/>
  <c r="I18" i="31" s="1"/>
  <c r="I12" i="31" a="1"/>
  <c r="I12" i="31" s="1"/>
  <c r="I7" i="31" a="1"/>
  <c r="I7" i="31" s="1"/>
  <c r="I17" i="31" a="1"/>
  <c r="I17" i="31" s="1"/>
  <c r="I14" i="31" a="1"/>
  <c r="I14" i="31" s="1"/>
  <c r="I13" i="31" a="1"/>
  <c r="I13" i="31" s="1"/>
  <c r="I10" i="31" a="1"/>
  <c r="I10" i="31" s="1"/>
  <c r="I8" i="31" a="1"/>
  <c r="I8" i="31" s="1"/>
  <c r="I15" i="31" a="1"/>
  <c r="I15" i="31" s="1"/>
  <c r="I3" i="31" a="1"/>
  <c r="I3" i="31" s="1"/>
  <c r="I5" i="31" a="1"/>
  <c r="I5" i="31" s="1"/>
  <c r="I2" i="31" a="1"/>
  <c r="I2" i="31" s="1"/>
  <c r="I2" i="30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<sst xmlns="http://schemas.openxmlformats.org/spreadsheetml/2006/main" count="2911" uniqueCount="320">
  <si>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</si>
  <si>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</si>
  <si>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</si>
  <si>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</si>
  <si>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</si>
  <si>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</si>
  <si>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</si>
  <si>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</si>
  <si>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</si>
  <si>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</si>
  <si>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</si>
  <si>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</si>
  <si>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</si>
  <si>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</si>
  <si>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</si>
  <si>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</si>
  <si>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</si>
  <si>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</si>
  <si>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</si>
  <si>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</si>
  <si>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</si>
  <si>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</si>
  <si>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</si>
  <si>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</si>
  <si>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</si>
  <si>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</si>
  <si>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</si>
  <si>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</si>
  <si>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</si>
  <si>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</si>
  <si>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</si>
  <si>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</si>
  <si>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</si>
  <si>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</si>
  <si>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</si>
  <si>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</si>
  <si>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</si>
  <si>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</si>
  <si>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</si>
  <si>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</si>
  <si>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</si>
  <si>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</si>
  <si>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</si>
  <si>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</si>
  <si>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</si>
  <si>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</si>
  <si>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</si>
  <si>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</si>
  <si>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</si>
  <si>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</si>
  <si>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</si>
  <si>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</si>
  <si>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</si>
  <si>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</si>
  <si>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</si>
  <si>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</si>
  <si>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</si>
  <si>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</si>
  <si>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</si>
  <si>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</si>
  <si>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</si>
  <si>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</si>
  <si>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</si>
  <si>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</si>
  <si>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</si>
  <si>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</si>
  <si>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</si>
  <si>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</si>
  <si>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</si>
  <si>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</si>
  <si>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</si>
  <si>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</si>
  <si>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</si>
  <si>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</si>
  <si>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</si>
  <si>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</si>
  <si>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</si>
  <si>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</si>
  <si>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</si>
  <si>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</si>
  <si>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</si>
  <si>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</si>
  <si>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</si>
  <si>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</si>
  <si>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</si>
  <si>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</si>
  <si>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</si>
  <si>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</si>
  <si>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</si>
  <si>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</si>
  <si>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</si>
  <si>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</si>
  <si>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</si>
  <si>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</si>
  <si>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</si>
  <si>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</si>
  <si>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</si>
  <si>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</si>
  <si>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</si>
  <si>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</si>
  <si>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</si>
  <si>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</si>
  <si>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</si>
  <si>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</si>
  <si>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</si>
  <si>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</si>
  <si>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</si>
  <si>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</si>
  <si>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</si>
  <si>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</si>
  <si>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</si>
  <si>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</si>
  <si>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</si>
  <si>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</si>
  <si>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</si>
  <si>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</si>
  <si>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</si>
  <si>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</si>
  <si>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</si>
  <si>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</si>
  <si>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</si>
  <si>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</si>
  <si>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</si>
  <si>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</si>
  <si>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</si>
  <si>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</si>
  <si>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</si>
  <si>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</si>
  <si>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</si>
  <si>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</si>
  <si>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</si>
  <si>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</si>
  <si>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</si>
  <si>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</si>
  <si>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</si>
  <si>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</si>
  <si>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</si>
  <si>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</si>
  <si>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</si>
  <si>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</si>
  <si>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</si>
  <si>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</si>
  <si>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</si>
  <si>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</si>
  <si>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</si>
  <si>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</si>
  <si>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</si>
  <si>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</si>
  <si>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</si>
  <si>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</si>
  <si>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</si>
  <si>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</si>
  <si>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</si>
  <si>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</si>
  <si>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</si>
  <si>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</si>
  <si>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</si>
  <si>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</si>
  <si>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</si>
  <si>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</si>
  <si>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</si>
  <si>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</si>
  <si>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</si>
  <si>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</si>
  <si>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</si>
  <si>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</si>
  <si>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</si>
  <si>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</si>
  <si>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</si>
  <si>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</si>
  <si>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</si>
  <si>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</si>
  <si>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</si>
  <si>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</si>
  <si>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</si>
  <si>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</si>
  <si>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</si>
  <si>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</si>
  <si>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</si>
  <si>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</si>
  <si>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</si>
  <si>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</si>
  <si>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</si>
  <si>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</si>
  <si>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</si>
  <si>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</si>
  <si>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</si>
  <si>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</si>
  <si>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</si>
  <si>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</si>
  <si>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</si>
  <si>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</si>
  <si>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</si>
  <si>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</si>
  <si>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</si>
  <si>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</si>
  <si>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</si>
  <si>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</si>
  <si>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</si>
  <si>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</si>
  <si>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</si>
  <si>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</si>
  <si>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</si>
  <si>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</si>
  <si>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</si>
  <si>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</si>
  <si>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</si>
  <si>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</si>
  <si>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</si>
  <si>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</si>
  <si>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</si>
  <si>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</si>
  <si>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</si>
  <si>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</si>
  <si>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</si>
  <si>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</si>
  <si>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</si>
  <si>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</si>
  <si>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</si>
  <si>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</si>
  <si>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</si>
  <si>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</si>
  <si>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</si>
  <si>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</si>
  <si>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</si>
  <si>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</si>
  <si>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</si>
  <si>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</si>
  <si>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</si>
  <si>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</si>
  <si>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</si>
  <si>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</si>
  <si>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</si>
  <si>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</si>
  <si>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</si>
  <si>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</si>
  <si>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</si>
  <si>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</si>
  <si>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</si>
  <si>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</si>
  <si>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</si>
  <si>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</si>
  <si>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</si>
  <si>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</si>
  <si>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</si>
  <si>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</si>
  <si>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</si>
  <si>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</si>
  <si>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</si>
  <si>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</si>
  <si>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</si>
  <si>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</si>
  <si>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</si>
  <si>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</si>
  <si>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</si>
  <si>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</si>
  <si>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</si>
  <si>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</si>
  <si>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</si>
  <si>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</si>
  <si>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</si>
  <si>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</si>
  <si>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</si>
  <si>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</si>
  <si>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</si>
  <si>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</si>
  <si>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</si>
  <si>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</si>
  <si>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</si>
  <si>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</si>
  <si>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</si>
  <si>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</si>
  <si>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</si>
  <si>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</si>
  <si>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</si>
  <si>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</si>
  <si>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</si>
  <si>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</si>
  <si>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</si>
  <si>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</si>
  <si>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</si>
  <si>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</si>
  <si>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</si>
  <si>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</si>
  <si>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</si>
  <si>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</si>
  <si>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</si>
  <si>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</si>
  <si>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</si>
  <si>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</si>
  <si>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</si>
  <si>
    <t>14 (71%)</t>
  </si>
  <si>
    <t>7월 13일</t>
    <phoneticPr fontId="1" type="noConversion"/>
  </si>
  <si>
    <t>7월 14일</t>
  </si>
  <si>
    <t>7월 15일</t>
  </si>
  <si>
    <t>7월 16일</t>
  </si>
  <si>
    <t>7월 17일</t>
  </si>
  <si>
    <t>7월 18일</t>
  </si>
  <si>
    <t>7월 19일</t>
  </si>
  <si>
    <t>뽀로로</t>
    <phoneticPr fontId="1" type="noConversion"/>
  </si>
  <si>
    <t>INFORA</t>
    <phoneticPr fontId="1" type="noConversion"/>
  </si>
  <si>
    <t>7월 20일</t>
    <phoneticPr fontId="1" type="noConversion"/>
  </si>
  <si>
    <t>7월 21일</t>
  </si>
  <si>
    <t>7월 22일</t>
  </si>
  <si>
    <t>7월 23일</t>
  </si>
  <si>
    <t>7월 24일</t>
  </si>
  <si>
    <t>7월 25일</t>
  </si>
  <si>
    <t>7월 26일</t>
  </si>
  <si>
    <t>3번 + 명성</t>
    <phoneticPr fontId="1" type="noConversion"/>
  </si>
  <si>
    <t>7월 27일</t>
    <phoneticPr fontId="1" type="noConversion"/>
  </si>
  <si>
    <t>7월 28일</t>
  </si>
  <si>
    <t>7월 29일</t>
  </si>
  <si>
    <t>7월 30일</t>
  </si>
  <si>
    <t>7월 31일</t>
  </si>
  <si>
    <t>8월 1일</t>
    <phoneticPr fontId="1" type="noConversion"/>
  </si>
  <si>
    <t>8월 2일</t>
  </si>
  <si>
    <t>6 (17%)</t>
  </si>
  <si>
    <t>6 (100%)</t>
  </si>
  <si>
    <t>9 (44%)</t>
  </si>
  <si>
    <t>예다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</si>
</sst>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14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141"/>
    <sortCondition sortBy="cellColor" ref="I2:I19" dxfId="140"/>
    <sortCondition sortBy="cellColor" ref="I2:I19" dxfId="139"/>
    <sortCondition sortBy="cellColor" ref="I2:I19" dxfId="13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137"/>
    <sortCondition sortBy="cellColor" ref="B2:B18" dxfId="136"/>
    <sortCondition sortBy="cellColor" ref="B2:B18" dxfId="135"/>
    <sortCondition sortBy="cellColor" ref="B2:B18" dxfId="13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133"/>
    <sortCondition sortBy="cellColor" ref="I2:I22" dxfId="132"/>
    <sortCondition sortBy="cellColor" ref="I2:I22" dxfId="131"/>
    <sortCondition sortBy="cellColor" ref="I2:I22" dxfId="13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129"/>
    <sortCondition sortBy="cellColor" ref="I2:I27" dxfId="128"/>
    <sortCondition sortBy="cellColor" ref="I2:I27" dxfId="127"/>
    <sortCondition sortBy="cellColor" ref="I2:I27" dxfId="12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125"/>
    <sortCondition sortBy="cellColor" ref="I2:I24" dxfId="124"/>
    <sortCondition sortBy="cellColor" ref="I2:I24" dxfId="123"/>
    <sortCondition sortBy="cellColor" ref="I2:I24" dxfId="12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121"/>
    <sortCondition sortBy="cellColor" ref="I2:I26" dxfId="120"/>
    <sortCondition sortBy="cellColor" ref="I2:I26" dxfId="119"/>
    <sortCondition sortBy="cellColor" ref="I2:I26" dxfId="11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117"/>
    <sortCondition sortBy="cellColor" ref="I2:I23" dxfId="116"/>
    <sortCondition sortBy="cellColor" ref="I2:I23" dxfId="115"/>
    <sortCondition sortBy="cellColor" ref="I2:I23" dxfId="11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113"/>
    <sortCondition sortBy="cellColor" ref="I2:I26" dxfId="112"/>
    <sortCondition sortBy="cellColor" ref="I2:I26" dxfId="111"/>
    <sortCondition sortBy="cellColor" ref="I2:I26" dxfId="11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109"/>
    <sortCondition sortBy="cellColor" ref="I2:I25" dxfId="108"/>
    <sortCondition sortBy="cellColor" ref="I2:I25" dxfId="107"/>
    <sortCondition sortBy="cellColor" ref="I2:I25" dxfId="10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105"/>
    <sortCondition sortBy="cellColor" ref="I2:I22" dxfId="104"/>
    <sortCondition sortBy="cellColor" ref="I2:I22" dxfId="103"/>
    <sortCondition sortBy="cellColor" ref="I2:I22" dxfId="10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101"/>
    <sortCondition sortBy="cellColor" ref="I2:I23" dxfId="100"/>
    <sortCondition sortBy="cellColor" ref="I2:I23" dxfId="99"/>
    <sortCondition sortBy="cellColor" ref="I2:I23" dxfId="9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97"/>
    <sortCondition sortBy="cellColor" ref="I2:I25" dxfId="96"/>
    <sortCondition sortBy="cellColor" ref="I2:I25" dxfId="95"/>
    <sortCondition sortBy="cellColor" ref="I2:I25" dxfId="9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93"/>
    <sortCondition sortBy="cellColor" ref="I2:I25" dxfId="92"/>
    <sortCondition sortBy="cellColor" ref="I2:I25" dxfId="91"/>
    <sortCondition descending="1" sortBy="cellColor" ref="I2:I25" dxfId="9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89"/>
    <sortCondition sortBy="cellColor" ref="I2:I26" dxfId="88"/>
    <sortCondition sortBy="cellColor" ref="I2:I26" dxfId="87"/>
    <sortCondition sortBy="cellColor" ref="I2:I26" dxfId="8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85"/>
    <sortCondition sortBy="cellColor" ref="I2:I25" dxfId="84"/>
    <sortCondition sortBy="cellColor" ref="I2:I25" dxfId="83"/>
    <sortCondition sortBy="cellColor" ref="I2:I25" dxfId="8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81"/>
    <sortCondition sortBy="cellColor" ref="I2:I25" dxfId="80"/>
    <sortCondition sortBy="cellColor" ref="I2:I25" dxfId="79"/>
    <sortCondition sortBy="cellColor" ref="J2:J25" dxfId="7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7"/>
    <sortCondition sortBy="cellColor" ref="I2:I25" dxfId="76"/>
    <sortCondition sortBy="cellColor" ref="I2:I25" dxfId="75"/>
    <sortCondition sortBy="cellColor" ref="I2:I25" dxfId="7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73"/>
    <sortCondition sortBy="cellColor" ref="I2:I24" dxfId="72"/>
    <sortCondition sortBy="cellColor" ref="I2:I24" dxfId="71"/>
    <sortCondition sortBy="cellColor" ref="I2:I24" dxfId="70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69"/>
    <sortCondition sortBy="cellColor" ref="I3:I23" dxfId="68"/>
    <sortCondition sortBy="cellColor" ref="I3:I23" dxfId="67"/>
    <sortCondition sortBy="cellColor" ref="I3:I23" dxfId="66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65"/>
    <sortCondition sortBy="cellColor" ref="I3:I21" dxfId="64"/>
    <sortCondition sortBy="cellColor" ref="I3:I21" dxfId="63"/>
    <sortCondition sortBy="cellColor" ref="I3:I21" dxfId="62"/>
    <sortCondition descending="1" ref="I3:I21"/>
  </sortState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75011-282E-420B-A9CE-9BB86C4D912E}">
  <dimension ref="A1:K23"/>
  <sheetViews>
    <sheetView zoomScale="90" zoomScaleNormal="90" workbookViewId="0">
      <selection activeCell="C4" sqref="C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291</v>
      </c>
      <c r="K2" s="3" t="s">
        <v>44</v>
      </c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47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186</v>
      </c>
      <c r="K3" s="3"/>
    </row>
    <row r="4" spans="1:11" x14ac:dyDescent="0.6">
      <c r="A4" s="23" t="s">
        <v>279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167</v>
      </c>
      <c r="K4" s="3"/>
    </row>
    <row r="5" spans="1:11" x14ac:dyDescent="0.6">
      <c r="A5" s="23" t="s">
        <v>2</v>
      </c>
      <c r="B5" s="3" t="s">
        <v>48</v>
      </c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7 (43%)</v>
      </c>
      <c r="J5" s="21" t="s">
        <v>144</v>
      </c>
      <c r="K5" s="3"/>
    </row>
    <row r="6" spans="1:11" x14ac:dyDescent="0.6">
      <c r="A6" s="23" t="s">
        <v>276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48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7 (43%)</v>
      </c>
      <c r="J6" s="21" t="s">
        <v>183</v>
      </c>
      <c r="K6" s="3"/>
    </row>
    <row r="7" spans="1:11" x14ac:dyDescent="0.6">
      <c r="A7" s="23" t="s">
        <v>187</v>
      </c>
      <c r="B7" s="21" t="s">
        <v>47</v>
      </c>
      <c r="C7" s="21" t="s">
        <v>48</v>
      </c>
      <c r="D7" s="21"/>
      <c r="E7" s="21" t="s">
        <v>47</v>
      </c>
      <c r="F7" s="21" t="s">
        <v>47</v>
      </c>
      <c r="G7" s="21" t="s">
        <v>47</v>
      </c>
      <c r="H7" s="21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6 (83%)</v>
      </c>
      <c r="J7" s="21" t="s">
        <v>182</v>
      </c>
      <c r="K7" s="21"/>
    </row>
    <row r="8" spans="1:11" x14ac:dyDescent="0.6">
      <c r="A8" s="23" t="s">
        <v>287</v>
      </c>
      <c r="B8" s="3"/>
      <c r="C8" s="3" t="s">
        <v>47</v>
      </c>
      <c r="D8" s="3" t="s">
        <v>48</v>
      </c>
      <c r="E8" s="3" t="s">
        <v>47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189</v>
      </c>
      <c r="K8" s="3"/>
    </row>
    <row r="9" spans="1:11" x14ac:dyDescent="0.6">
      <c r="A9" s="23" t="s">
        <v>12</v>
      </c>
      <c r="B9" s="3" t="s">
        <v>48</v>
      </c>
      <c r="C9" s="3" t="s">
        <v>48</v>
      </c>
      <c r="D9" s="3"/>
      <c r="E9" s="3" t="s">
        <v>48</v>
      </c>
      <c r="F9" s="3"/>
      <c r="G9" s="3" t="s">
        <v>47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168</v>
      </c>
      <c r="K9" s="3"/>
    </row>
    <row r="10" spans="1:11" x14ac:dyDescent="0.6">
      <c r="A10" s="23" t="s">
        <v>121</v>
      </c>
      <c r="B10" s="3" t="s">
        <v>48</v>
      </c>
      <c r="C10" s="3" t="s">
        <v>48</v>
      </c>
      <c r="D10" s="3" t="s">
        <v>48</v>
      </c>
      <c r="E10" s="3" t="s">
        <v>48</v>
      </c>
      <c r="F10" s="3"/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146</v>
      </c>
      <c r="K10" s="3"/>
    </row>
    <row r="11" spans="1:11" x14ac:dyDescent="0.6">
      <c r="A11" s="24" t="s">
        <v>300</v>
      </c>
      <c r="B11" s="9"/>
      <c r="C11" s="9"/>
      <c r="D11" s="9" t="s">
        <v>48</v>
      </c>
      <c r="E11" s="9" t="s">
        <v>47</v>
      </c>
      <c r="F11" s="9"/>
      <c r="G11" s="9"/>
      <c r="H11" s="9" t="s">
        <v>47</v>
      </c>
      <c r="I11" s="19" t="str" cm="1">
        <f t="array" ref="I11">IF(COUNTA(B11:H11)=0,"0 (0%)",SUMPRODUCT(LEN(B11:H11))&amp;" ("&amp;TEXT(SUMPRODUCT(LEN(B11:H11)-LEN(SUBSTITUTE(B11:H11,"W","")))/SUMPRODUCT(LEN(B11:H11)),"0%")&amp;")")</f>
        <v>3 (67%)</v>
      </c>
      <c r="J11" s="22" t="s">
        <v>166</v>
      </c>
      <c r="K11" s="9" t="s">
        <v>29</v>
      </c>
    </row>
    <row r="12" spans="1:11" x14ac:dyDescent="0.6">
      <c r="A12" s="25" t="s">
        <v>55</v>
      </c>
      <c r="B12" s="7" t="s">
        <v>48</v>
      </c>
      <c r="C12" s="7"/>
      <c r="D12" s="7"/>
      <c r="E12" s="7" t="s">
        <v>48</v>
      </c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149</v>
      </c>
      <c r="K12" s="7"/>
    </row>
    <row r="13" spans="1:11" x14ac:dyDescent="0.6">
      <c r="A13" s="25" t="s">
        <v>7</v>
      </c>
      <c r="B13" s="7"/>
      <c r="C13" s="7"/>
      <c r="D13" s="7" t="s">
        <v>47</v>
      </c>
      <c r="E13" s="7"/>
      <c r="F13" s="7" t="s">
        <v>47</v>
      </c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152</v>
      </c>
      <c r="K13" s="10" t="s">
        <v>69</v>
      </c>
    </row>
    <row r="14" spans="1:11" x14ac:dyDescent="0.6">
      <c r="A14" s="25" t="s">
        <v>33</v>
      </c>
      <c r="B14" s="7"/>
      <c r="C14" s="7"/>
      <c r="D14" s="7"/>
      <c r="E14" s="7"/>
      <c r="F14" s="7" t="s">
        <v>48</v>
      </c>
      <c r="G14" s="7" t="s">
        <v>47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150</v>
      </c>
      <c r="K14" s="7" t="s">
        <v>41</v>
      </c>
    </row>
    <row r="15" spans="1:11" x14ac:dyDescent="0.6">
      <c r="A15" s="25" t="s">
        <v>265</v>
      </c>
      <c r="B15" s="7" t="s">
        <v>48</v>
      </c>
      <c r="C15" s="7"/>
      <c r="D15" s="7" t="s">
        <v>47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2 (50%)</v>
      </c>
      <c r="J15" s="16" t="s">
        <v>162</v>
      </c>
      <c r="K15" s="7" t="s">
        <v>21</v>
      </c>
    </row>
    <row r="16" spans="1:11" x14ac:dyDescent="0.6">
      <c r="A16" s="25" t="s">
        <v>299</v>
      </c>
      <c r="B16" s="7"/>
      <c r="C16" s="7" t="s">
        <v>48</v>
      </c>
      <c r="D16" s="7"/>
      <c r="E16" s="7"/>
      <c r="F16" s="7" t="s">
        <v>47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2 (50%)</v>
      </c>
      <c r="J16" s="16" t="s">
        <v>166</v>
      </c>
      <c r="K16" s="7" t="s">
        <v>21</v>
      </c>
    </row>
    <row r="17" spans="1:11" x14ac:dyDescent="0.6">
      <c r="A17" s="25" t="s">
        <v>18</v>
      </c>
      <c r="B17" s="7"/>
      <c r="C17" s="7"/>
      <c r="D17" s="7"/>
      <c r="E17" s="7"/>
      <c r="F17" s="7"/>
      <c r="G17" s="7"/>
      <c r="H17" s="7"/>
      <c r="I17" s="18" t="str" cm="1">
        <f t="array" ref="I17">IF(COUNTA(B17:H17)=0,"0 (0%)",SUMPRODUCT(LEN(B17:H17))&amp;" ("&amp;TEXT(SUMPRODUCT(LEN(B17:H17)-LEN(SUBSTITUTE(B17:H17,"W","")))/SUMPRODUCT(LEN(B17:H17)),"0%")&amp;")")</f>
        <v>0 (0%)</v>
      </c>
      <c r="J17" s="16" t="s">
        <v>166</v>
      </c>
      <c r="K17" s="7" t="s">
        <v>104</v>
      </c>
    </row>
    <row r="18" spans="1:11" x14ac:dyDescent="0.6">
      <c r="A18" s="25" t="s">
        <v>9</v>
      </c>
      <c r="B18" s="7"/>
      <c r="C18" s="7"/>
      <c r="D18" s="7"/>
      <c r="E18" s="7"/>
      <c r="F18" s="7"/>
      <c r="G18" s="7"/>
      <c r="H18" s="7"/>
      <c r="I18" s="18" t="str" cm="1">
        <f t="array" ref="I18">IF(COUNTA(B18:H18)=0,"0 (0%)",SUMPRODUCT(LEN(B18:H18))&amp;" ("&amp;TEXT(SUMPRODUCT(LEN(B18:H18)-LEN(SUBSTITUTE(B18:H18,"W","")))/SUMPRODUCT(LEN(B18:H18)),"0%")&amp;")")</f>
        <v>0 (0%)</v>
      </c>
      <c r="J18" s="16" t="s">
        <v>167</v>
      </c>
      <c r="K18" s="7" t="s">
        <v>21</v>
      </c>
    </row>
    <row r="19" spans="1:11" x14ac:dyDescent="0.6">
      <c r="A19" s="26" t="s">
        <v>221</v>
      </c>
      <c r="B19" s="12" t="s">
        <v>48</v>
      </c>
      <c r="C19" s="12" t="s">
        <v>47</v>
      </c>
      <c r="D19" s="12" t="s">
        <v>48</v>
      </c>
      <c r="E19" s="12" t="s">
        <v>47</v>
      </c>
      <c r="F19" s="12" t="s">
        <v>47</v>
      </c>
      <c r="G19" s="12" t="s">
        <v>47</v>
      </c>
      <c r="H19" s="12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144</v>
      </c>
      <c r="K19" s="12" t="s">
        <v>125</v>
      </c>
    </row>
    <row r="20" spans="1:11" x14ac:dyDescent="0.6">
      <c r="A20" s="26" t="s">
        <v>140</v>
      </c>
      <c r="B20" s="5" t="s">
        <v>47</v>
      </c>
      <c r="C20" s="5" t="s">
        <v>47</v>
      </c>
      <c r="D20" s="5" t="s">
        <v>47</v>
      </c>
      <c r="E20" s="5"/>
      <c r="F20" s="5" t="s">
        <v>47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5 (100%)</v>
      </c>
      <c r="J20" s="12" t="s">
        <v>150</v>
      </c>
      <c r="K20" s="5" t="s">
        <v>290</v>
      </c>
    </row>
    <row r="21" spans="1:11" x14ac:dyDescent="0.6">
      <c r="A21" s="26" t="s">
        <v>278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182</v>
      </c>
      <c r="K21" s="5" t="s">
        <v>89</v>
      </c>
    </row>
    <row r="22" spans="1:11" x14ac:dyDescent="0.6">
      <c r="A22" s="26" t="s">
        <v>288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(33%)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(67%)</v>
      </c>
      <c r="E23" s="3" t="str" cm="1">
        <f t="array" ref="E23">IF(COUNTA(E2:E22)=0,"0 (0%)",SUMPRODUCT(LEN(E2:E22))&amp;" ("&amp;TEXT(SUMPRODUCT(LEN(E2:E22)-LEN(SUBSTITUTE(E2:E22,"W","")))/SUMPRODUCT(LEN(E2:E22)),"0%")&amp;")")</f>
        <v>12 (58%)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(58%)</v>
      </c>
      <c r="H23" s="3" t="str" cm="1">
        <f t="array" ref="H23">IF(COUNTA(H2:H22)=0,"0 (0%)",SUMPRODUCT(LEN(H2:H22))&amp;" ("&amp;TEXT(SUMPRODUCT(LEN(H2:H22)-LEN(SUBSTITUTE(H2:H22,"W","")))/SUMPRODUCT(LEN(H2:H22)),"0%")&amp;")")</f>
        <v>12 (33%)</v>
      </c>
      <c r="I23" s="1" t="str" cm="1">
        <f t="array" ref="I23">IF(COUNTA(B2:H22)=0,"0 (0%)",SUMPRODUCT(LEN(B2:H22))&amp;" ("&amp;TEXT(SUMPRODUCT(LEN(B2:H22)-LEN(SUBSTITUTE(B2:H22,"W","")))/SUMPRODUCT(LEN(B2:H22)),"0%")&amp;")")</f>
        <v>84 (52%)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61"/>
    <sortCondition sortBy="cellColor" ref="I2:I22" dxfId="60"/>
    <sortCondition sortBy="cellColor" ref="I2:I22" dxfId="59"/>
    <sortCondition sortBy="cellColor" ref="I2:I22" dxfId="58"/>
    <sortCondition descending="1" ref="I2:I22"/>
  </sortState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5A5B1-F09B-42CA-9FF0-F003FB9D3FD5}">
  <dimension ref="A1:K18"/>
  <sheetViews>
    <sheetView zoomScale="90" zoomScaleNormal="90" workbookViewId="0">
      <selection activeCell="D3" sqref="D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301</v>
      </c>
      <c r="C1" s="13" t="s">
        <v>302</v>
      </c>
      <c r="D1" s="13" t="s">
        <v>303</v>
      </c>
      <c r="E1" s="13" t="s">
        <v>304</v>
      </c>
      <c r="F1" s="13" t="s">
        <v>305</v>
      </c>
      <c r="G1" s="13" t="s">
        <v>306</v>
      </c>
      <c r="H1" s="13" t="s">
        <v>307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47</v>
      </c>
      <c r="D2" s="3" t="s">
        <v>47</v>
      </c>
      <c r="E2" s="3" t="s">
        <v>48</v>
      </c>
      <c r="F2" s="3" t="s">
        <v>75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 t="s">
        <v>186</v>
      </c>
      <c r="K2" s="3"/>
    </row>
    <row r="3" spans="1:11" x14ac:dyDescent="0.6">
      <c r="A3" s="23" t="s">
        <v>277</v>
      </c>
      <c r="B3" s="3" t="s">
        <v>47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48</v>
      </c>
      <c r="D4" s="3" t="s">
        <v>48</v>
      </c>
      <c r="E4" s="3" t="s">
        <v>48</v>
      </c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161</v>
      </c>
      <c r="K4" s="3" t="s">
        <v>44</v>
      </c>
    </row>
    <row r="5" spans="1:11" x14ac:dyDescent="0.6">
      <c r="A5" s="23" t="s">
        <v>276</v>
      </c>
      <c r="B5" s="3"/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186</v>
      </c>
      <c r="K5" s="3"/>
    </row>
    <row r="6" spans="1:11" x14ac:dyDescent="0.6">
      <c r="A6" s="23" t="s">
        <v>300</v>
      </c>
      <c r="B6" s="3" t="s">
        <v>48</v>
      </c>
      <c r="C6" s="3" t="s">
        <v>47</v>
      </c>
      <c r="D6" s="3" t="s">
        <v>48</v>
      </c>
      <c r="E6" s="3" t="s">
        <v>47</v>
      </c>
      <c r="F6" s="3" t="s">
        <v>47</v>
      </c>
      <c r="G6" s="3"/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6 (67%)</v>
      </c>
      <c r="J6" s="21" t="s">
        <v>150</v>
      </c>
      <c r="K6" s="3"/>
    </row>
    <row r="7" spans="1:11" x14ac:dyDescent="0.6">
      <c r="A7" s="23" t="s">
        <v>287</v>
      </c>
      <c r="B7" s="3" t="s">
        <v>47</v>
      </c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6 (50%)</v>
      </c>
      <c r="J7" s="21" t="s">
        <v>146</v>
      </c>
      <c r="K7" s="3"/>
    </row>
    <row r="8" spans="1:11" x14ac:dyDescent="0.6">
      <c r="A8" s="23" t="s">
        <v>279</v>
      </c>
      <c r="B8" s="3" t="s">
        <v>48</v>
      </c>
      <c r="C8" s="3" t="s">
        <v>47</v>
      </c>
      <c r="D8" s="3" t="s">
        <v>48</v>
      </c>
      <c r="E8" s="3" t="s">
        <v>48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6 (17%)</v>
      </c>
      <c r="J8" s="21" t="s">
        <v>186</v>
      </c>
      <c r="K8" s="3"/>
    </row>
    <row r="9" spans="1:11" x14ac:dyDescent="0.6">
      <c r="A9" s="23" t="s">
        <v>33</v>
      </c>
      <c r="B9" s="3" t="s">
        <v>47</v>
      </c>
      <c r="C9" s="3"/>
      <c r="D9" s="3" t="s">
        <v>47</v>
      </c>
      <c r="E9" s="3" t="s">
        <v>47</v>
      </c>
      <c r="F9" s="3" t="s">
        <v>47</v>
      </c>
      <c r="G9" s="3" t="s">
        <v>47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6 (100%)</v>
      </c>
      <c r="J9" s="21" t="s">
        <v>155</v>
      </c>
      <c r="K9" s="3" t="s">
        <v>41</v>
      </c>
    </row>
    <row r="10" spans="1:11" x14ac:dyDescent="0.6">
      <c r="A10" s="24" t="s">
        <v>7</v>
      </c>
      <c r="B10" s="9"/>
      <c r="C10" s="9" t="s">
        <v>47</v>
      </c>
      <c r="D10" s="9"/>
      <c r="E10" s="9" t="s">
        <v>48</v>
      </c>
      <c r="F10" s="9"/>
      <c r="G10" s="9" t="s">
        <v>47</v>
      </c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3 (67%)</v>
      </c>
      <c r="J10" s="22" t="s">
        <v>167</v>
      </c>
      <c r="K10" s="27" t="s">
        <v>308</v>
      </c>
    </row>
    <row r="11" spans="1:11" x14ac:dyDescent="0.6">
      <c r="A11" s="25" t="s">
        <v>121</v>
      </c>
      <c r="B11" s="7" t="s">
        <v>48</v>
      </c>
      <c r="C11" s="7"/>
      <c r="D11" s="7" t="s">
        <v>47</v>
      </c>
      <c r="E11" s="7"/>
      <c r="F11" s="7" t="s">
        <v>47</v>
      </c>
      <c r="G11" s="7" t="s">
        <v>48</v>
      </c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5 (60%)</v>
      </c>
      <c r="J11" s="16" t="s">
        <v>181</v>
      </c>
      <c r="K11" s="7"/>
    </row>
    <row r="12" spans="1:11" x14ac:dyDescent="0.6">
      <c r="A12" s="25" t="s">
        <v>12</v>
      </c>
      <c r="B12" s="7" t="s">
        <v>47</v>
      </c>
      <c r="C12" s="7"/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147</v>
      </c>
      <c r="K12" s="7"/>
    </row>
    <row r="13" spans="1:11" x14ac:dyDescent="0.6">
      <c r="A13" s="25" t="s">
        <v>55</v>
      </c>
      <c r="B13" s="7"/>
      <c r="C13" s="7" t="s">
        <v>47</v>
      </c>
      <c r="D13" s="7" t="s">
        <v>48</v>
      </c>
      <c r="E13" s="7" t="s">
        <v>48</v>
      </c>
      <c r="F13" s="7"/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4 (50%)</v>
      </c>
      <c r="J13" s="16" t="s">
        <v>148</v>
      </c>
      <c r="K13" s="7"/>
    </row>
    <row r="14" spans="1:11" x14ac:dyDescent="0.6">
      <c r="A14" s="25" t="s">
        <v>187</v>
      </c>
      <c r="B14" s="16" t="s">
        <v>47</v>
      </c>
      <c r="C14" s="16" t="s">
        <v>48</v>
      </c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145</v>
      </c>
      <c r="K14" s="16"/>
    </row>
    <row r="15" spans="1:11" x14ac:dyDescent="0.6">
      <c r="A15" s="25" t="s">
        <v>18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166</v>
      </c>
      <c r="K15" s="7" t="s">
        <v>21</v>
      </c>
    </row>
    <row r="16" spans="1:11" x14ac:dyDescent="0.6">
      <c r="A16" s="26" t="s">
        <v>221</v>
      </c>
      <c r="B16" s="12" t="s">
        <v>47</v>
      </c>
      <c r="C16" s="12" t="s">
        <v>49</v>
      </c>
      <c r="D16" s="12" t="s">
        <v>48</v>
      </c>
      <c r="E16" s="12" t="s">
        <v>47</v>
      </c>
      <c r="F16" s="12" t="s">
        <v>75</v>
      </c>
      <c r="G16" s="12" t="s">
        <v>47</v>
      </c>
      <c r="H16" s="12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9 (44%)</v>
      </c>
      <c r="J16" s="12" t="s">
        <v>219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 t="s">
        <v>47</v>
      </c>
      <c r="D17" s="5" t="s">
        <v>48</v>
      </c>
      <c r="E17" s="5"/>
      <c r="F17" s="5" t="s">
        <v>47</v>
      </c>
      <c r="G17" s="5" t="s">
        <v>48</v>
      </c>
      <c r="H17" s="5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6 (33%)</v>
      </c>
      <c r="J17" s="12" t="s">
        <v>247</v>
      </c>
      <c r="K17" s="5" t="s">
        <v>290</v>
      </c>
    </row>
    <row r="18" spans="1:11" x14ac:dyDescent="0.6">
      <c r="A18" s="14" t="s">
        <v>50</v>
      </c>
      <c r="B18" s="3" t="str" cm="1">
        <f t="array" ref="B18">IF(COUNTA(B2:B17)=0,"0 (0%)",SUMPRODUCT(LEN(B2:B17))&amp;" ("&amp;TEXT(SUMPRODUCT(LEN(B2:B17)-LEN(SUBSTITUTE(B2:B17,"W","")))/SUMPRODUCT(LEN(B2:B17)),"0%")&amp;")")</f>
        <v>12 (67%)</v>
      </c>
      <c r="C18" s="3" t="str" cm="1">
        <f t="array" ref="C18">IF(COUNTA(C2:C17)=0,"0 (0%)",SUMPRODUCT(LEN(C2:C17))&amp;" ("&amp;TEXT(SUMPRODUCT(LEN(C2:C17)-LEN(SUBSTITUTE(C2:C17,"W","")))/SUMPRODUCT(LEN(C2:C17)),"0%")&amp;")")</f>
        <v>12 (58%)</v>
      </c>
      <c r="D18" s="3" t="str" cm="1">
        <f t="array" ref="D18">IF(COUNTA(D2:D17)=0,"0 (0%)",SUMPRODUCT(LEN(D2:D17))&amp;" ("&amp;TEXT(SUMPRODUCT(LEN(D2:D17)-LEN(SUBSTITUTE(D2:D17,"W","")))/SUMPRODUCT(LEN(D2:D17)),"0%")&amp;")")</f>
        <v>12 (42%)</v>
      </c>
      <c r="E18" s="3" t="str" cm="1">
        <f t="array" ref="E18">IF(COUNTA(E2:E17)=0,"0 (0%)",SUMPRODUCT(LEN(E2:E17))&amp;" ("&amp;TEXT(SUMPRODUCT(LEN(E2:E17)-LEN(SUBSTITUTE(E2:E17,"W","")))/SUMPRODUCT(LEN(E2:E17)),"0%")&amp;")")</f>
        <v>12 (50%)</v>
      </c>
      <c r="F18" s="3" t="str" cm="1">
        <f t="array" ref="F18">IF(COUNTA(F2:F17)=0,"0 (0%)",SUMPRODUCT(LEN(F2:F17))&amp;" ("&amp;TEXT(SUMPRODUCT(LEN(F2:F17)-LEN(SUBSTITUTE(F2:F17,"W","")))/SUMPRODUCT(LEN(F2:F17)),"0%")&amp;")")</f>
        <v>12 (75%)</v>
      </c>
      <c r="G18" s="3" t="str" cm="1">
        <f t="array" ref="G18">IF(COUNTA(G2:G17)=0,"0 (0%)",SUMPRODUCT(LEN(G2:G17))&amp;" ("&amp;TEXT(SUMPRODUCT(LEN(G2:G17)-LEN(SUBSTITUTE(G2:G17,"W","")))/SUMPRODUCT(LEN(G2:G17)),"0%")&amp;")")</f>
        <v>12 (42%)</v>
      </c>
      <c r="H18" s="3" t="str" cm="1">
        <f t="array" ref="H18">IF(COUNTA(H2:H17)=0,"0 (0%)",SUMPRODUCT(LEN(H2:H17))&amp;" ("&amp;TEXT(SUMPRODUCT(LEN(H2:H17)-LEN(SUBSTITUTE(H2:H17,"W","")))/SUMPRODUCT(LEN(H2:H17)),"0%")&amp;")")</f>
        <v>12 (42%)</v>
      </c>
      <c r="I18" s="1" t="str" cm="1">
        <f t="array" ref="I18">IF(COUNTA(B2:H17)=0,"0 (0%)",SUMPRODUCT(LEN(B2:H17))&amp;" ("&amp;TEXT(SUMPRODUCT(LEN(B2:H17)-LEN(SUBSTITUTE(B2:H17,"W","")))/SUMPRODUCT(LEN(B2:H17)),"0%")&amp;")")</f>
        <v>84 (54%)</v>
      </c>
      <c r="J18" s="1" t="s">
        <v>132</v>
      </c>
      <c r="K18" s="1"/>
    </row>
  </sheetData>
  <sortState xmlns:xlrd2="http://schemas.microsoft.com/office/spreadsheetml/2017/richdata2" ref="A2:K17">
    <sortCondition sortBy="cellColor" ref="I2:I17" dxfId="145"/>
    <sortCondition sortBy="cellColor" ref="I2:I17" dxfId="144"/>
    <sortCondition sortBy="cellColor" ref="I2:I17" dxfId="143"/>
    <sortCondition sortBy="cellColor" ref="I2:I17" dxfId="142"/>
    <sortCondition descending="1" ref="I2:I17"/>
  </sortState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A17C6-27E7-40A5-985D-664E5A3F58D7}">
  <dimension ref="A1:K20"/>
  <sheetViews>
    <sheetView tabSelected="1" zoomScale="90" zoomScaleNormal="90" workbookViewId="0">
      <selection sqref="A1:K2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309</v>
      </c>
      <c r="C1" s="13" t="s">
        <v>310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48</v>
      </c>
      <c r="D2" s="3" t="s">
        <v>47</v>
      </c>
      <c r="E2" s="3" t="s">
        <v>75</v>
      </c>
      <c r="F2" s="3" t="s">
        <v>48</v>
      </c>
      <c r="G2" s="3" t="s">
        <v>48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9 (33%)</v>
      </c>
      <c r="J2" s="21" t="s">
        <v>161</v>
      </c>
      <c r="K2" s="3"/>
    </row>
    <row r="3" spans="1:11" x14ac:dyDescent="0.6">
      <c r="A3" s="23" t="s">
        <v>277</v>
      </c>
      <c r="B3" s="3" t="s">
        <v>47</v>
      </c>
      <c r="C3" s="3" t="s">
        <v>48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(71%)</v>
      </c>
      <c r="J4" s="21" t="s">
        <v>186</v>
      </c>
      <c r="K4" s="3" t="s">
        <v>44</v>
      </c>
    </row>
    <row r="5" spans="1:11" x14ac:dyDescent="0.6">
      <c r="A5" s="23" t="s">
        <v>287</v>
      </c>
      <c r="B5" s="3"/>
      <c r="C5" s="3" t="s">
        <v>47</v>
      </c>
      <c r="D5" s="3" t="s">
        <v>47</v>
      </c>
      <c r="E5" s="3" t="s">
        <v>47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 t="s">
        <v>162</v>
      </c>
      <c r="K5" s="3"/>
    </row>
    <row r="6" spans="1:11" x14ac:dyDescent="0.6">
      <c r="A6" s="23" t="s">
        <v>319</v>
      </c>
      <c r="B6" s="3"/>
      <c r="C6" s="3"/>
      <c r="D6" s="3" t="s">
        <v>47</v>
      </c>
      <c r="E6" s="3" t="s">
        <v>47</v>
      </c>
      <c r="F6" s="3" t="s">
        <v>48</v>
      </c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166</v>
      </c>
      <c r="K6" s="3"/>
    </row>
    <row r="7" spans="1:11" x14ac:dyDescent="0.6">
      <c r="A7" s="23" t="s">
        <v>300</v>
      </c>
      <c r="B7" s="3" t="s">
        <v>48</v>
      </c>
      <c r="C7" s="3"/>
      <c r="D7" s="3" t="s">
        <v>48</v>
      </c>
      <c r="E7" s="3" t="s">
        <v>47</v>
      </c>
      <c r="F7" s="3" t="s">
        <v>48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154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/>
      <c r="E8" s="3"/>
      <c r="F8" s="3" t="s">
        <v>48</v>
      </c>
      <c r="G8" s="3" t="s">
        <v>47</v>
      </c>
      <c r="H8" s="3" t="s">
        <v>47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164</v>
      </c>
      <c r="K8" s="3"/>
    </row>
    <row r="9" spans="1:11" x14ac:dyDescent="0.6">
      <c r="A9" s="23" t="s">
        <v>276</v>
      </c>
      <c r="B9" s="3" t="s">
        <v>47</v>
      </c>
      <c r="C9" s="3"/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/>
    </row>
    <row r="10" spans="1:11" x14ac:dyDescent="0.6">
      <c r="A10" s="24" t="s">
        <v>7</v>
      </c>
      <c r="B10" s="9" t="s">
        <v>47</v>
      </c>
      <c r="C10" s="9"/>
      <c r="D10" s="9" t="s">
        <v>47</v>
      </c>
      <c r="E10" s="9"/>
      <c r="F10" s="9" t="s">
        <v>47</v>
      </c>
      <c r="G10" s="9"/>
      <c r="H10" s="9" t="s">
        <v>47</v>
      </c>
      <c r="I10" s="19" t="str" cm="1">
        <f t="array" ref="I10">IF(COUNTA(B10:H10)=0,"0 (0%)",SUMPRODUCT(LEN(B10:H10))&amp;" ("&amp;TEXT(SUMPRODUCT(LEN(B10:H10)-LEN(SUBSTITUTE(B10:H10,"W","")))/SUMPRODUCT(LEN(B10:H10)),"0%")&amp;")")</f>
        <v>4 (100%)</v>
      </c>
      <c r="J10" s="22" t="s">
        <v>150</v>
      </c>
      <c r="K10" s="27" t="s">
        <v>308</v>
      </c>
    </row>
    <row r="11" spans="1:11" x14ac:dyDescent="0.6">
      <c r="A11" s="25" t="s">
        <v>279</v>
      </c>
      <c r="B11" s="7" t="s">
        <v>48</v>
      </c>
      <c r="C11" s="7" t="s">
        <v>75</v>
      </c>
      <c r="D11" s="7"/>
      <c r="E11" s="7"/>
      <c r="F11" s="7"/>
      <c r="G11" s="7" t="s">
        <v>47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316</v>
      </c>
      <c r="K11" s="7"/>
    </row>
    <row r="12" spans="1:11" x14ac:dyDescent="0.6">
      <c r="A12" s="25" t="s">
        <v>12</v>
      </c>
      <c r="B12" s="7" t="s">
        <v>47</v>
      </c>
      <c r="C12" s="7" t="s">
        <v>48</v>
      </c>
      <c r="D12" s="7"/>
      <c r="E12" s="7"/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148</v>
      </c>
      <c r="K12" s="7"/>
    </row>
    <row r="13" spans="1:11" x14ac:dyDescent="0.6">
      <c r="A13" s="25" t="s">
        <v>55</v>
      </c>
      <c r="B13" s="7"/>
      <c r="C13" s="7" t="s">
        <v>48</v>
      </c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(67%)</v>
      </c>
      <c r="J13" s="16" t="s">
        <v>149</v>
      </c>
      <c r="K13" s="7"/>
    </row>
    <row r="14" spans="1:11" x14ac:dyDescent="0.6">
      <c r="A14" s="25" t="s">
        <v>33</v>
      </c>
      <c r="B14" s="7" t="s">
        <v>47</v>
      </c>
      <c r="C14" s="7"/>
      <c r="D14" s="7"/>
      <c r="E14" s="7" t="s">
        <v>48</v>
      </c>
      <c r="F14" s="7"/>
      <c r="G14" s="7" t="s">
        <v>48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3 (33%)</v>
      </c>
      <c r="J14" s="16" t="s">
        <v>317</v>
      </c>
      <c r="K14" s="7" t="s">
        <v>41</v>
      </c>
    </row>
    <row r="15" spans="1:11" x14ac:dyDescent="0.6">
      <c r="A15" s="25" t="s">
        <v>187</v>
      </c>
      <c r="B15" s="16"/>
      <c r="C15" s="16" t="s">
        <v>48</v>
      </c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155</v>
      </c>
      <c r="K15" s="16"/>
    </row>
    <row r="16" spans="1:11" x14ac:dyDescent="0.6">
      <c r="A16" s="26" t="s">
        <v>221</v>
      </c>
      <c r="B16" s="12" t="s">
        <v>48</v>
      </c>
      <c r="C16" s="12" t="s">
        <v>67</v>
      </c>
      <c r="D16" s="12" t="s">
        <v>67</v>
      </c>
      <c r="E16" s="12" t="s">
        <v>75</v>
      </c>
      <c r="F16" s="12" t="s">
        <v>47</v>
      </c>
      <c r="G16" s="12" t="s">
        <v>47</v>
      </c>
      <c r="H16" s="12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10 (70%)</v>
      </c>
      <c r="J16" s="12" t="s">
        <v>318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/>
      <c r="D17" s="5" t="s">
        <v>47</v>
      </c>
      <c r="E17" s="5" t="s">
        <v>48</v>
      </c>
      <c r="F17" s="5" t="s">
        <v>47</v>
      </c>
      <c r="G17" s="5" t="s">
        <v>48</v>
      </c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5 (40%)</v>
      </c>
      <c r="J17" s="12" t="s">
        <v>189</v>
      </c>
      <c r="K17" s="5" t="s">
        <v>290</v>
      </c>
    </row>
    <row r="18" spans="1:11" x14ac:dyDescent="0.6">
      <c r="A18" s="26" t="s">
        <v>288</v>
      </c>
      <c r="B18" s="12"/>
      <c r="C18" s="12"/>
      <c r="D18" s="12" t="s">
        <v>47</v>
      </c>
      <c r="E18" s="12"/>
      <c r="F18" s="12"/>
      <c r="G18" s="12"/>
      <c r="H18" s="12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289</v>
      </c>
      <c r="K18" s="12" t="s">
        <v>89</v>
      </c>
    </row>
    <row r="19" spans="1:11" x14ac:dyDescent="0.6">
      <c r="A19" s="26" t="s">
        <v>278</v>
      </c>
      <c r="B19" s="12"/>
      <c r="C19" s="12"/>
      <c r="D19" s="12"/>
      <c r="E19" s="12"/>
      <c r="F19" s="12"/>
      <c r="G19" s="12"/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1 (0%)</v>
      </c>
      <c r="J19" s="12" t="s">
        <v>289</v>
      </c>
      <c r="K19" s="12" t="s">
        <v>89</v>
      </c>
    </row>
    <row r="20" spans="1:11" x14ac:dyDescent="0.6">
      <c r="A20" s="14" t="s">
        <v>50</v>
      </c>
      <c r="B20" s="3" t="str" cm="1">
        <f t="array" ref="B20">IF(COUNTA(B2:B19)=0,"0 (0%)",SUMPRODUCT(LEN(B2:B19))&amp;" ("&amp;TEXT(SUMPRODUCT(LEN(B2:B19)-LEN(SUBSTITUTE(B2:B19,"W","")))/SUMPRODUCT(LEN(B2:B19)),"0%")&amp;")")</f>
        <v>12 (58%)</v>
      </c>
      <c r="C20" s="3" t="str" cm="1">
        <f t="array" ref="C20">IF(COUNTA(C2:C19)=0,"0 (0%)",SUMPRODUCT(LEN(C2:C19))&amp;" ("&amp;TEXT(SUMPRODUCT(LEN(C2:C19)-LEN(SUBSTITUTE(C2:C19,"W","")))/SUMPRODUCT(LEN(C2:C19)),"0%")&amp;")")</f>
        <v>12 (42%)</v>
      </c>
      <c r="D20" s="3" t="str" cm="1">
        <f t="array" ref="D20">IF(COUNTA(D2:D19)=0,"0 (0%)",SUMPRODUCT(LEN(D2:D19))&amp;" ("&amp;TEXT(SUMPRODUCT(LEN(D2:D19)-LEN(SUBSTITUTE(D2:D19,"W","")))/SUMPRODUCT(LEN(D2:D19)),"0%")&amp;")")</f>
        <v>12 (92%)</v>
      </c>
      <c r="E20" s="3" t="str" cm="1">
        <f t="array" ref="E20">IF(COUNTA(E2:E19)=0,"0 (0%)",SUMPRODUCT(LEN(E2:E19))&amp;" ("&amp;TEXT(SUMPRODUCT(LEN(E2:E19)-LEN(SUBSTITUTE(E2:E19,"W","")))/SUMPRODUCT(LEN(E2:E19)),"0%")&amp;")")</f>
        <v>12 (42%)</v>
      </c>
      <c r="F20" s="3" t="str" cm="1">
        <f t="array" ref="F20">IF(COUNTA(F2:F19)=0,"0 (0%)",SUMPRODUCT(LEN(F2:F19))&amp;" ("&amp;TEXT(SUMPRODUCT(LEN(F2:F19)-LEN(SUBSTITUTE(F2:F19,"W","")))/SUMPRODUCT(LEN(F2:F19)),"0%")&amp;")")</f>
        <v>12 (58%)</v>
      </c>
      <c r="G20" s="3" t="str" cm="1">
        <f t="array" ref="G20">IF(COUNTA(G2:G19)=0,"0 (0%)",SUMPRODUCT(LEN(G2:G19))&amp;" ("&amp;TEXT(SUMPRODUCT(LEN(G2:G19)-LEN(SUBSTITUTE(G2:G19,"W","")))/SUMPRODUCT(LEN(G2:G19)),"0%")&amp;")")</f>
        <v>12 (50%)</v>
      </c>
      <c r="H20" s="3" t="str" cm="1">
        <f t="array" ref="H20">IF(COUNTA(H2:H19)=0,"0 (0%)",SUMPRODUCT(LEN(H2:H19))&amp;" ("&amp;TEXT(SUMPRODUCT(LEN(H2:H19)-LEN(SUBSTITUTE(H2:H19,"W","")))/SUMPRODUCT(LEN(H2:H19)),"0%")&amp;")")</f>
        <v>12 (50%)</v>
      </c>
      <c r="I20" s="1" t="str" cm="1">
        <f t="array" ref="I20">IF(COUNTA(B2:H19)=0,"0 (0%)",SUMPRODUCT(LEN(B2:H19))&amp;" ("&amp;TEXT(SUMPRODUCT(LEN(B2:H19)-LEN(SUBSTITUTE(B2:H19,"W","")))/SUMPRODUCT(LEN(B2:H19)),"0%")&amp;")")</f>
        <v>84 (56%)</v>
      </c>
      <c r="J20" s="1" t="s">
        <v>132</v>
      </c>
      <c r="K20" s="1"/>
    </row>
  </sheetData>
  <sortState xmlns:xlrd2="http://schemas.microsoft.com/office/spreadsheetml/2017/richdata2" ref="A2:K20">
    <sortCondition sortBy="cellColor" ref="I2:I20" dxfId="7"/>
    <sortCondition sortBy="cellColor" ref="I2:I20" dxfId="6"/>
    <sortCondition sortBy="cellColor" ref="I2:I20" dxfId="5"/>
    <sortCondition sortBy="cellColor" ref="I2:I20" dxfId="4"/>
    <sortCondition descending="1" ref="I2:I2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  <vt:lpstr>7월 4주차</vt:lpstr>
      <vt:lpstr>7월 5주차</vt:lpstr>
      <vt:lpstr>8월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2026-08-02T12:36:52Z</dcterms:modified>
</cp:coreProperties>
</file>