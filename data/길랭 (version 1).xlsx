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D6DA8629-EF5D-472C-A840-52D1077AC6EC}" xr6:coauthVersionLast="47" xr6:coauthVersionMax="47" xr10:uidLastSave="{00000000-0000-0000-0000-000000000000}"/>
  <bookViews>
    <workbookView xWindow="-98" yWindow="-98" windowWidth="21795" windowHeight="12975" firstSheet="13" activeTab="19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8" l="1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5" i="28" a="1"/>
  <c r="I15" i="28" s="1"/>
  <c r="I9" i="28" a="1"/>
  <c r="I9" i="28" s="1"/>
  <c r="I13" i="28" a="1"/>
  <c r="I13" i="28" s="1"/>
  <c r="I12" i="28" a="1"/>
  <c r="I12" i="28" s="1"/>
  <c r="I11" i="28" a="1"/>
  <c r="I11" i="28" s="1"/>
  <c r="I6" i="28" a="1"/>
  <c r="I6" i="28" s="1"/>
  <c r="I14" i="28" a="1"/>
  <c r="I14" i="28" s="1"/>
  <c r="I8" i="28" a="1"/>
  <c r="I8" i="28" s="1"/>
  <c r="I5" i="28" a="1"/>
  <c r="I5" i="28" s="1"/>
  <c r="I10" i="28" a="1"/>
  <c r="I10" i="28" s="1"/>
  <c r="I2" i="28" a="1"/>
  <c r="I2" i="28" s="1"/>
  <c r="I3" i="28" a="1"/>
  <c r="I3" i="28" s="1"/>
  <c r="I4" i="28" a="1"/>
  <c r="I4" i="28" s="1"/>
  <c r="I7" i="28" a="1"/>
  <c r="I7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<sst xmlns="http://schemas.openxmlformats.org/spreadsheetml/2006/main" count="2206" uniqueCount="268">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</sst>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표준" xfId="0" builtinId="0"/>
  </cellStyles>
  <dxfs count="78"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77"/>
    <sortCondition sortBy="cellColor" ref="I2:I19" dxfId="76"/>
    <sortCondition sortBy="cellColor" ref="I2:I19" dxfId="75"/>
    <sortCondition sortBy="cellColor" ref="I2:I19" dxfId="74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73"/>
    <sortCondition sortBy="cellColor" ref="B2:B18" dxfId="72"/>
    <sortCondition sortBy="cellColor" ref="B2:B18" dxfId="71"/>
    <sortCondition sortBy="cellColor" ref="B2:B18" dxfId="7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69"/>
    <sortCondition sortBy="cellColor" ref="I2:I22" dxfId="68"/>
    <sortCondition sortBy="cellColor" ref="I2:I22" dxfId="67"/>
    <sortCondition sortBy="cellColor" ref="I2:I22" dxfId="66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65"/>
    <sortCondition sortBy="cellColor" ref="I2:I27" dxfId="64"/>
    <sortCondition sortBy="cellColor" ref="I2:I27" dxfId="63"/>
    <sortCondition sortBy="cellColor" ref="I2:I27" dxfId="62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1"/>
    <sortCondition sortBy="cellColor" ref="I2:I24" dxfId="60"/>
    <sortCondition sortBy="cellColor" ref="I2:I24" dxfId="59"/>
    <sortCondition sortBy="cellColor" ref="I2:I24" dxfId="58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57"/>
    <sortCondition sortBy="cellColor" ref="I2:I26" dxfId="56"/>
    <sortCondition sortBy="cellColor" ref="I2:I26" dxfId="55"/>
    <sortCondition sortBy="cellColor" ref="I2:I26" dxfId="54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53"/>
    <sortCondition sortBy="cellColor" ref="I2:I23" dxfId="52"/>
    <sortCondition sortBy="cellColor" ref="I2:I23" dxfId="51"/>
    <sortCondition sortBy="cellColor" ref="I2:I23" dxfId="50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49"/>
    <sortCondition sortBy="cellColor" ref="I2:I26" dxfId="48"/>
    <sortCondition sortBy="cellColor" ref="I2:I26" dxfId="47"/>
    <sortCondition sortBy="cellColor" ref="I2:I26" dxfId="46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45"/>
    <sortCondition sortBy="cellColor" ref="I2:I25" dxfId="44"/>
    <sortCondition sortBy="cellColor" ref="I2:I25" dxfId="43"/>
    <sortCondition sortBy="cellColor" ref="I2:I25" dxfId="42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1"/>
    <sortCondition sortBy="cellColor" ref="I2:I22" dxfId="40"/>
    <sortCondition sortBy="cellColor" ref="I2:I22" dxfId="39"/>
    <sortCondition sortBy="cellColor" ref="I2:I22" dxfId="38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37"/>
    <sortCondition sortBy="cellColor" ref="I2:I23" dxfId="36"/>
    <sortCondition sortBy="cellColor" ref="I2:I23" dxfId="35"/>
    <sortCondition sortBy="cellColor" ref="I2:I23" dxfId="34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3"/>
    <sortCondition sortBy="cellColor" ref="I2:I25" dxfId="32"/>
    <sortCondition sortBy="cellColor" ref="I2:I25" dxfId="31"/>
    <sortCondition sortBy="cellColor" ref="I2:I25" dxfId="3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9"/>
    <sortCondition sortBy="cellColor" ref="I2:I25" dxfId="28"/>
    <sortCondition sortBy="cellColor" ref="I2:I25" dxfId="27"/>
    <sortCondition descending="1" sortBy="cellColor" ref="I2:I25" dxfId="2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25"/>
    <sortCondition sortBy="cellColor" ref="I2:I26" dxfId="24"/>
    <sortCondition sortBy="cellColor" ref="I2:I26" dxfId="23"/>
    <sortCondition sortBy="cellColor" ref="I2:I26" dxfId="22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1"/>
    <sortCondition sortBy="cellColor" ref="I2:I25" dxfId="20"/>
    <sortCondition sortBy="cellColor" ref="I2:I25" dxfId="19"/>
    <sortCondition sortBy="cellColor" ref="I2:I25" dxfId="1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7"/>
    <sortCondition sortBy="cellColor" ref="I2:I25" dxfId="16"/>
    <sortCondition sortBy="cellColor" ref="I2:I25" dxfId="15"/>
    <sortCondition sortBy="cellColor" ref="J2:J25" dxfId="1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3"/>
    <sortCondition sortBy="cellColor" ref="I2:I25" dxfId="12"/>
    <sortCondition sortBy="cellColor" ref="I2:I25" dxfId="11"/>
    <sortCondition sortBy="cellColor" ref="I2:I25" dxfId="1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9"/>
    <sortCondition sortBy="cellColor" ref="I2:I24" dxfId="8"/>
    <sortCondition sortBy="cellColor" ref="I2:I24" dxfId="7"/>
    <sortCondition sortBy="cellColor" ref="I2:I24" dxfId="6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tabSelected="1" zoomScale="75" workbookViewId="0">
      <selection activeCell="J31" sqref="J3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/>
      <c r="H2" s="3"/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/>
      <c r="H3" s="21"/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263</v>
      </c>
      <c r="K3" s="21"/>
    </row>
    <row r="4" spans="1:11" x14ac:dyDescent="0.6">
      <c r="A4" s="28" t="s">
        <v>12</v>
      </c>
      <c r="B4" s="1" t="s">
        <v>48</v>
      </c>
      <c r="C4" s="1" t="s">
        <v>47</v>
      </c>
      <c r="D4" s="1" t="s">
        <v>48</v>
      </c>
      <c r="E4" s="1" t="s">
        <v>47</v>
      </c>
      <c r="F4" s="1"/>
      <c r="G4" s="1"/>
      <c r="H4" s="1"/>
      <c r="I4" s="29" t="str" cm="1">
        <f t="array" ref="I4">IF(COUNTA(B4:H4)=0,"0 (0%)",SUMPRODUCT(LEN(B4:H4))&amp;" ("&amp;TEXT(SUMPRODUCT(LEN(B4:H4)-LEN(SUBSTITUTE(B4:H4,"W","")))/SUMPRODUCT(LEN(B4:H4)),"0%")&amp;")")</f>
        <v>4 (50%)</v>
      </c>
      <c r="J4" s="30" t="s">
        <v>186</v>
      </c>
      <c r="K4" s="1"/>
    </row>
    <row r="5" spans="1:11" x14ac:dyDescent="0.6">
      <c r="A5" s="28" t="s">
        <v>121</v>
      </c>
      <c r="B5" s="1" t="s">
        <v>48</v>
      </c>
      <c r="C5" s="1" t="s">
        <v>47</v>
      </c>
      <c r="D5" s="1" t="s">
        <v>48</v>
      </c>
      <c r="E5" s="1"/>
      <c r="F5" s="1" t="s">
        <v>47</v>
      </c>
      <c r="G5" s="1"/>
      <c r="H5" s="1"/>
      <c r="I5" s="29" t="str" cm="1">
        <f t="array" ref="I5">IF(COUNTA(B5:H5)=0,"0 (0%)",SUMPRODUCT(LEN(B5:H5))&amp;" ("&amp;TEXT(SUMPRODUCT(LEN(B5:H5)-LEN(SUBSTITUTE(B5:H5,"W","")))/SUMPRODUCT(LEN(B5:H5)),"0%")&amp;")")</f>
        <v>4 (50%)</v>
      </c>
      <c r="J5" s="30" t="s">
        <v>147</v>
      </c>
      <c r="K5" s="1"/>
    </row>
    <row r="6" spans="1:11" x14ac:dyDescent="0.6">
      <c r="A6" s="28" t="s">
        <v>265</v>
      </c>
      <c r="B6" s="1"/>
      <c r="C6" s="1" t="s">
        <v>48</v>
      </c>
      <c r="D6" s="1" t="s">
        <v>48</v>
      </c>
      <c r="E6" s="1" t="s">
        <v>47</v>
      </c>
      <c r="F6" s="1" t="s">
        <v>47</v>
      </c>
      <c r="G6" s="1"/>
      <c r="H6" s="1"/>
      <c r="I6" s="29" t="str" cm="1">
        <f t="array" ref="I6">IF(COUNTA(B6:H6)=0,"0 (0%)",SUMPRODUCT(LEN(B6:H6))&amp;" ("&amp;TEXT(SUMPRODUCT(LEN(B6:H6)-LEN(SUBSTITUTE(B6:H6,"W","")))/SUMPRODUCT(LEN(B6:H6)),"0%")&amp;")")</f>
        <v>4 (50%)</v>
      </c>
      <c r="J6" s="30" t="s">
        <v>166</v>
      </c>
      <c r="K6" s="1"/>
    </row>
    <row r="7" spans="1:11" x14ac:dyDescent="0.6">
      <c r="A7" s="28" t="s">
        <v>55</v>
      </c>
      <c r="B7" s="1" t="s">
        <v>48</v>
      </c>
      <c r="C7" s="1" t="s">
        <v>47</v>
      </c>
      <c r="D7" s="1"/>
      <c r="E7" s="1" t="s">
        <v>48</v>
      </c>
      <c r="F7" s="1" t="s">
        <v>48</v>
      </c>
      <c r="G7" s="1"/>
      <c r="H7" s="1"/>
      <c r="I7" s="29" t="str" cm="1">
        <f t="array" ref="I7">IF(COUNTA(B7:H7)=0,"0 (0%)",SUMPRODUCT(LEN(B7:H7))&amp;" ("&amp;TEXT(SUMPRODUCT(LEN(B7:H7)-LEN(SUBSTITUTE(B7:H7,"W","")))/SUMPRODUCT(LEN(B7:H7)),"0%")&amp;")")</f>
        <v>4 (25%)</v>
      </c>
      <c r="J7" s="30" t="s">
        <v>144</v>
      </c>
      <c r="K7" s="1"/>
    </row>
    <row r="8" spans="1:11" x14ac:dyDescent="0.6">
      <c r="A8" s="28" t="s">
        <v>9</v>
      </c>
      <c r="B8" s="1" t="s">
        <v>48</v>
      </c>
      <c r="C8" s="1"/>
      <c r="D8" s="1"/>
      <c r="E8" s="1" t="s">
        <v>47</v>
      </c>
      <c r="F8" s="1" t="s">
        <v>48</v>
      </c>
      <c r="G8" s="1"/>
      <c r="H8" s="1"/>
      <c r="I8" s="29" t="str" cm="1">
        <f t="array" ref="I8">IF(COUNTA(B8:H8)=0,"0 (0%)",SUMPRODUCT(LEN(B8:H8))&amp;" ("&amp;TEXT(SUMPRODUCT(LEN(B8:H8)-LEN(SUBSTITUTE(B8:H8,"W","")))/SUMPRODUCT(LEN(B8:H8)),"0%")&amp;")")</f>
        <v>3 (33%)</v>
      </c>
      <c r="J8" s="30" t="s">
        <v>150</v>
      </c>
      <c r="K8" s="1"/>
    </row>
    <row r="9" spans="1:11" x14ac:dyDescent="0.6">
      <c r="A9" s="28" t="s">
        <v>7</v>
      </c>
      <c r="B9" s="1" t="s">
        <v>47</v>
      </c>
      <c r="C9" s="1"/>
      <c r="D9" s="1" t="s">
        <v>48</v>
      </c>
      <c r="E9" s="1"/>
      <c r="F9" s="1" t="s">
        <v>48</v>
      </c>
      <c r="G9" s="1"/>
      <c r="H9" s="1"/>
      <c r="I9" s="29" t="str" cm="1">
        <f t="array" ref="I9">IF(COUNTA(B9:H9)=0,"0 (0%)",SUMPRODUCT(LEN(B9:H9))&amp;" ("&amp;TEXT(SUMPRODUCT(LEN(B9:H9)-LEN(SUBSTITUTE(B9:H9,"W","")))/SUMPRODUCT(LEN(B9:H9)),"0%")&amp;")")</f>
        <v>3 (33%)</v>
      </c>
      <c r="J9" s="30" t="s">
        <v>148</v>
      </c>
      <c r="K9" s="31" t="s">
        <v>69</v>
      </c>
    </row>
    <row r="10" spans="1:11" x14ac:dyDescent="0.6">
      <c r="A10" s="28" t="s">
        <v>243</v>
      </c>
      <c r="B10" s="1" t="s">
        <v>47</v>
      </c>
      <c r="C10" s="1"/>
      <c r="D10" s="1" t="s">
        <v>47</v>
      </c>
      <c r="E10" s="1"/>
      <c r="F10" s="1" t="s">
        <v>47</v>
      </c>
      <c r="G10" s="1"/>
      <c r="H10" s="1"/>
      <c r="I10" s="29" t="str" cm="1">
        <f t="array" ref="I10">IF(COUNTA(B10:H10)=0,"0 (0%)",SUMPRODUCT(LEN(B10:H10))&amp;" ("&amp;TEXT(SUMPRODUCT(LEN(B10:H10)-LEN(SUBSTITUTE(B10:H10,"W","")))/SUMPRODUCT(LEN(B10:H10)),"0%")&amp;")")</f>
        <v>3 (100%)</v>
      </c>
      <c r="J10" s="30" t="s">
        <v>163</v>
      </c>
      <c r="K10" s="1" t="s">
        <v>245</v>
      </c>
    </row>
    <row r="11" spans="1:11" x14ac:dyDescent="0.6">
      <c r="A11" s="28" t="s">
        <v>266</v>
      </c>
      <c r="B11" s="1"/>
      <c r="C11" s="1"/>
      <c r="D11" s="1" t="s">
        <v>48</v>
      </c>
      <c r="E11" s="1" t="s">
        <v>48</v>
      </c>
      <c r="F11" s="1" t="s">
        <v>48</v>
      </c>
      <c r="G11" s="1"/>
      <c r="H11" s="1"/>
      <c r="I11" s="29" t="str" cm="1">
        <f t="array" ref="I11">IF(COUNTA(B11:H11)=0,"0 (0%)",SUMPRODUCT(LEN(B11:H11))&amp;" ("&amp;TEXT(SUMPRODUCT(LEN(B11:H11)-LEN(SUBSTITUTE(B11:H11,"W","")))/SUMPRODUCT(LEN(B11:H11)),"0%")&amp;")")</f>
        <v>3 (0%)</v>
      </c>
      <c r="J11" s="30" t="s">
        <v>166</v>
      </c>
      <c r="K11" s="1"/>
    </row>
    <row r="12" spans="1:11" x14ac:dyDescent="0.6">
      <c r="A12" s="28" t="s">
        <v>220</v>
      </c>
      <c r="B12" s="1"/>
      <c r="C12" s="1" t="s">
        <v>48</v>
      </c>
      <c r="D12" s="1"/>
      <c r="E12" s="1" t="s">
        <v>47</v>
      </c>
      <c r="F12" s="1"/>
      <c r="G12" s="1"/>
      <c r="H12" s="1"/>
      <c r="I12" s="29" t="str" cm="1">
        <f t="array" ref="I12">IF(COUNTA(B12:H12)=0,"0 (0%)",SUMPRODUCT(LEN(B12:H12))&amp;" ("&amp;TEXT(SUMPRODUCT(LEN(B12:H12)-LEN(SUBSTITUTE(B12:H12,"W","")))/SUMPRODUCT(LEN(B12:H12)),"0%")&amp;")")</f>
        <v>2 (50%)</v>
      </c>
      <c r="J12" s="30" t="s">
        <v>149</v>
      </c>
      <c r="K12" s="1" t="s">
        <v>43</v>
      </c>
    </row>
    <row r="13" spans="1:11" x14ac:dyDescent="0.6">
      <c r="A13" s="28" t="s">
        <v>33</v>
      </c>
      <c r="B13" s="1"/>
      <c r="C13" s="1" t="s">
        <v>48</v>
      </c>
      <c r="D13" s="1"/>
      <c r="E13" s="1" t="s">
        <v>48</v>
      </c>
      <c r="F13" s="1"/>
      <c r="G13" s="1"/>
      <c r="H13" s="1"/>
      <c r="I13" s="29" t="str" cm="1">
        <f t="array" ref="I13">IF(COUNTA(B13:H13)=0,"0 (0%)",SUMPRODUCT(LEN(B13:H13))&amp;" ("&amp;TEXT(SUMPRODUCT(LEN(B13:H13)-LEN(SUBSTITUTE(B13:H13,"W","")))/SUMPRODUCT(LEN(B13:H13)),"0%")&amp;")")</f>
        <v>2 (0%)</v>
      </c>
      <c r="J13" s="30" t="s">
        <v>152</v>
      </c>
      <c r="K13" s="1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187</v>
      </c>
      <c r="B16" s="12" t="s">
        <v>47</v>
      </c>
      <c r="C16" s="12" t="s">
        <v>47</v>
      </c>
      <c r="D16" s="12" t="s">
        <v>48</v>
      </c>
      <c r="E16" s="12" t="s">
        <v>48</v>
      </c>
      <c r="F16" s="12" t="s">
        <v>47</v>
      </c>
      <c r="G16" s="12"/>
      <c r="H16" s="12"/>
      <c r="I16" s="20" t="str" cm="1">
        <f t="array" ref="I16">IF(COUNTA(B16:H16)=0,"0 (0%)",SUMPRODUCT(LEN(B16:H16))&amp;" ("&amp;TEXT(SUMPRODUCT(LEN(B16:H16)-LEN(SUBSTITUTE(B16:H16,"W","")))/SUMPRODUCT(LEN(B16:H16)),"0%")&amp;")")</f>
        <v>5 (60%)</v>
      </c>
      <c r="J16" s="12" t="s">
        <v>264</v>
      </c>
      <c r="K16" s="12" t="s">
        <v>201</v>
      </c>
    </row>
    <row r="17" spans="1:11" x14ac:dyDescent="0.6">
      <c r="A17" s="26" t="s">
        <v>2</v>
      </c>
      <c r="B17" s="5" t="s">
        <v>48</v>
      </c>
      <c r="C17" s="5" t="s">
        <v>48</v>
      </c>
      <c r="D17" s="5" t="s">
        <v>47</v>
      </c>
      <c r="E17" s="5" t="s">
        <v>47</v>
      </c>
      <c r="F17" s="5" t="s">
        <v>47</v>
      </c>
      <c r="G17" s="5"/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5 (60%)</v>
      </c>
      <c r="J17" s="12" t="s">
        <v>143</v>
      </c>
      <c r="K17" s="5" t="s">
        <v>125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(25%)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0 (0%)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60 (47%)</v>
      </c>
      <c r="J24" s="1" t="s">
        <v>132</v>
      </c>
      <c r="K24" s="1"/>
    </row>
  </sheetData>
  <sortState xmlns:xlrd2="http://schemas.microsoft.com/office/spreadsheetml/2017/richdata2" ref="A2:K15">
    <sortCondition sortBy="cellColor" ref="I2:I15" dxfId="5"/>
    <sortCondition sortBy="cellColor" ref="I2:I15" dxfId="4"/>
    <sortCondition descending="1" ref="I2:I1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2026-06-19T15:06:24Z</dcterms:modified>
</cp:coreProperties>
</file>