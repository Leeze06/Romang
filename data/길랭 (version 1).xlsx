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23333A04-8574-41B2-9E14-F0BA6986C0DE}" xr6:coauthVersionLast="47" xr6:coauthVersionMax="47" xr10:uidLastSave="{00000000-0000-0000-0000-000000000000}"/>
  <bookViews>
    <workbookView xWindow="-98" yWindow="-98" windowWidth="21795" windowHeight="12975" firstSheet="19" activeTab="22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  <sheet name="6월 3주차" sheetId="28" r:id="rId20"/>
    <sheet name="6월 4주차" sheetId="29" r:id="rId21"/>
    <sheet name="7월 3주차" sheetId="30" r:id="rId22"/>
    <sheet name="7월 4주차" sheetId="31" r:id="rId23"/>
    <sheet name="7월 5주차" sheetId="32" r:id="rId24"/>
    <sheet name="8월 1주차" sheetId="33" r:id="rId25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33" l="1" a="1"/>
  <c r="I16" i="33"/>
  <c r="I19" i="33" a="1"/>
  <c r="I19" i="33" s="1"/>
  <c r="I18" i="33" a="1"/>
  <c r="I18" i="33"/>
  <c r="I20" i="33" a="1"/>
  <c r="I20" i="33" s="1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 a="1"/>
  <c r="B20" i="33" s="1"/>
  <c r="I17" i="33" a="1"/>
  <c r="I17" i="33" s="1"/>
  <c r="I6" i="33" a="1"/>
  <c r="I6" i="33" s="1"/>
  <c r="I15" i="33" a="1"/>
  <c r="I15" i="33" s="1"/>
  <c r="I13" i="33" a="1"/>
  <c r="I13" i="33" s="1"/>
  <c r="I12" i="33" a="1"/>
  <c r="I12" i="33" s="1"/>
  <c r="I8" i="33" a="1"/>
  <c r="I8" i="33" s="1"/>
  <c r="I10" i="33" a="1"/>
  <c r="I10" i="33" s="1"/>
  <c r="I14" i="33" a="1"/>
  <c r="I14" i="33" s="1"/>
  <c r="I11" i="33" a="1"/>
  <c r="I11" i="33" s="1"/>
  <c r="I5" i="33" a="1"/>
  <c r="I5" i="33" s="1"/>
  <c r="I7" i="33" a="1"/>
  <c r="I7" i="33" s="1"/>
  <c r="I9" i="33" a="1"/>
  <c r="I9" i="33" s="1"/>
  <c r="I4" i="33" a="1"/>
  <c r="I4" i="33" s="1"/>
  <c r="I3" i="33" a="1"/>
  <c r="I3" i="33" s="1"/>
  <c r="I2" i="33" a="1"/>
  <c r="I2" i="33" s="1"/>
  <c r="I18" i="32" a="1"/>
  <c r="I18" i="32" s="1"/>
  <c r="H18" i="32" a="1"/>
  <c r="H18" i="32" s="1"/>
  <c r="G18" i="32" a="1"/>
  <c r="G18" i="32" s="1"/>
  <c r="F18" i="32" a="1"/>
  <c r="F18" i="32" s="1"/>
  <c r="E18" i="32" a="1"/>
  <c r="E18" i="32" s="1"/>
  <c r="D18" i="32" a="1"/>
  <c r="D18" i="32" s="1"/>
  <c r="C18" i="32" a="1"/>
  <c r="C18" i="32" s="1"/>
  <c r="B18" i="32" a="1"/>
  <c r="B18" i="32" s="1"/>
  <c r="I17" i="32" a="1"/>
  <c r="I17" i="32" s="1"/>
  <c r="I16" i="32" a="1"/>
  <c r="I16" i="32" s="1"/>
  <c r="I15" i="32" a="1"/>
  <c r="I15" i="32" s="1"/>
  <c r="I9" i="32" a="1"/>
  <c r="I9" i="32" s="1"/>
  <c r="I10" i="32" a="1"/>
  <c r="I10" i="32" s="1"/>
  <c r="I13" i="32" a="1"/>
  <c r="I13" i="32" s="1"/>
  <c r="I6" i="32" a="1"/>
  <c r="I6" i="32" s="1"/>
  <c r="I11" i="32" a="1"/>
  <c r="I11" i="32" s="1"/>
  <c r="I12" i="32" a="1"/>
  <c r="I12" i="32" s="1"/>
  <c r="I7" i="32" a="1"/>
  <c r="I7" i="32" s="1"/>
  <c r="I14" i="32" a="1"/>
  <c r="I14" i="32" s="1"/>
  <c r="I5" i="32" a="1"/>
  <c r="I5" i="32" s="1"/>
  <c r="I2" i="32" a="1"/>
  <c r="I2" i="32" s="1"/>
  <c r="I8" i="32" a="1"/>
  <c r="I8" i="32" s="1"/>
  <c r="I3" i="32" a="1"/>
  <c r="I3" i="32" s="1"/>
  <c r="I4" i="32" a="1"/>
  <c r="I4" i="32" s="1"/>
  <c r="I11" i="31" a="1"/>
  <c r="I11" i="31" s="1"/>
  <c r="I16" i="31" a="1"/>
  <c r="I16" i="31" s="1"/>
  <c r="I23" i="31" a="1"/>
  <c r="I23" i="31" s="1"/>
  <c r="H23" i="31" a="1"/>
  <c r="H23" i="31" s="1"/>
  <c r="G23" i="31" a="1"/>
  <c r="G23" i="31" s="1"/>
  <c r="F23" i="31" a="1"/>
  <c r="F23" i="31" s="1"/>
  <c r="E23" i="31" a="1"/>
  <c r="E23" i="31" s="1"/>
  <c r="D23" i="31" a="1"/>
  <c r="D23" i="31" s="1"/>
  <c r="C23" i="31" a="1"/>
  <c r="C23" i="31" s="1"/>
  <c r="B23" i="31" a="1"/>
  <c r="B23" i="31" s="1"/>
  <c r="I22" i="31" a="1"/>
  <c r="I22" i="31" s="1"/>
  <c r="I20" i="31" a="1"/>
  <c r="I20" i="31" s="1"/>
  <c r="I21" i="31" a="1"/>
  <c r="I21" i="31" s="1"/>
  <c r="I19" i="31" a="1"/>
  <c r="I19" i="31" s="1"/>
  <c r="I9" i="31" a="1"/>
  <c r="I9" i="31" s="1"/>
  <c r="I6" i="31" a="1"/>
  <c r="I6" i="31" s="1"/>
  <c r="I4" i="31" a="1"/>
  <c r="I4" i="31" s="1"/>
  <c r="I18" i="31" a="1"/>
  <c r="I18" i="31" s="1"/>
  <c r="I12" i="31" a="1"/>
  <c r="I12" i="31" s="1"/>
  <c r="I7" i="31" a="1"/>
  <c r="I7" i="31" s="1"/>
  <c r="I17" i="31" a="1"/>
  <c r="I17" i="31" s="1"/>
  <c r="I14" i="31" a="1"/>
  <c r="I14" i="31" s="1"/>
  <c r="I13" i="31" a="1"/>
  <c r="I13" i="31" s="1"/>
  <c r="I10" i="31" a="1"/>
  <c r="I10" i="31" s="1"/>
  <c r="I8" i="31" a="1"/>
  <c r="I8" i="31" s="1"/>
  <c r="I15" i="31" a="1"/>
  <c r="I15" i="31" s="1"/>
  <c r="I3" i="31" a="1"/>
  <c r="I3" i="31" s="1"/>
  <c r="I5" i="31" a="1"/>
  <c r="I5" i="31" s="1"/>
  <c r="I2" i="31" a="1"/>
  <c r="I2" i="31" s="1"/>
  <c r="I2" i="30" a="1"/>
  <c r="I2" i="30" s="1"/>
  <c r="I20" i="30" a="1"/>
  <c r="I20" i="30" s="1"/>
  <c r="I21" i="30" a="1"/>
  <c r="I21" i="30" s="1"/>
  <c r="H21" i="30" a="1"/>
  <c r="H21" i="30" s="1"/>
  <c r="G21" i="30" a="1"/>
  <c r="G21" i="30" s="1"/>
  <c r="F21" i="30" a="1"/>
  <c r="F21" i="30" s="1"/>
  <c r="E21" i="30" a="1"/>
  <c r="E21" i="30" s="1"/>
  <c r="D21" i="30" a="1"/>
  <c r="D21" i="30" s="1"/>
  <c r="C21" i="30" a="1"/>
  <c r="C21" i="30" s="1"/>
  <c r="B21" i="30" a="1"/>
  <c r="B21" i="30" s="1"/>
  <c r="I18" i="30" a="1"/>
  <c r="I18" i="30" s="1"/>
  <c r="I6" i="30" a="1"/>
  <c r="I6" i="30" s="1"/>
  <c r="I19" i="30" a="1"/>
  <c r="I19" i="30" s="1"/>
  <c r="I11" i="30" a="1"/>
  <c r="I11" i="30" s="1"/>
  <c r="I3" i="30" a="1"/>
  <c r="I3" i="30" s="1"/>
  <c r="I10" i="30" a="1"/>
  <c r="I10" i="30" s="1"/>
  <c r="I14" i="30" a="1"/>
  <c r="I14" i="30" s="1"/>
  <c r="I9" i="30" a="1"/>
  <c r="I9" i="30" s="1"/>
  <c r="I13" i="30" a="1"/>
  <c r="I13" i="30" s="1"/>
  <c r="I4" i="30" a="1"/>
  <c r="I4" i="30" s="1"/>
  <c r="I8" i="30" a="1"/>
  <c r="I8" i="30" s="1"/>
  <c r="I16" i="30" a="1"/>
  <c r="I16" i="30" s="1"/>
  <c r="I15" i="30" a="1"/>
  <c r="I15" i="30" s="1"/>
  <c r="I12" i="30" a="1"/>
  <c r="I12" i="30" s="1"/>
  <c r="I5" i="30" a="1"/>
  <c r="I5" i="30" s="1"/>
  <c r="I7" i="30" a="1"/>
  <c r="I7" i="30" s="1"/>
  <c r="I17" i="30" a="1"/>
  <c r="I17" i="30" s="1"/>
  <c r="I24" i="29" a="1"/>
  <c r="I24" i="29" s="1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 a="1"/>
  <c r="B24" i="29" s="1"/>
  <c r="I23" i="29" a="1"/>
  <c r="I23" i="29" s="1"/>
  <c r="I22" i="29" a="1"/>
  <c r="I22" i="29" s="1"/>
  <c r="I21" i="29" a="1"/>
  <c r="I21" i="29" s="1"/>
  <c r="I20" i="29" a="1"/>
  <c r="I20" i="29" s="1"/>
  <c r="I19" i="29" a="1"/>
  <c r="I19" i="29" s="1"/>
  <c r="I18" i="29" a="1"/>
  <c r="I18" i="29" s="1"/>
  <c r="I17" i="29" a="1"/>
  <c r="I17" i="29" s="1"/>
  <c r="I16" i="29" a="1"/>
  <c r="I16" i="29" s="1"/>
  <c r="I15" i="29" a="1"/>
  <c r="I15" i="29" s="1"/>
  <c r="I14" i="29" a="1"/>
  <c r="I14" i="29" s="1"/>
  <c r="I13" i="29" a="1"/>
  <c r="I13" i="29" s="1"/>
  <c r="I12" i="29" a="1"/>
  <c r="I12" i="29" s="1"/>
  <c r="I11" i="29" a="1"/>
  <c r="I11" i="29" s="1"/>
  <c r="I10" i="29" a="1"/>
  <c r="I10" i="29" s="1"/>
  <c r="I9" i="29" a="1"/>
  <c r="I9" i="29" s="1"/>
  <c r="I8" i="29" a="1"/>
  <c r="I8" i="29" s="1"/>
  <c r="I7" i="29" a="1"/>
  <c r="I7" i="29" s="1"/>
  <c r="I6" i="29" a="1"/>
  <c r="I6" i="29" s="1"/>
  <c r="I5" i="29" a="1"/>
  <c r="I5" i="29" s="1"/>
  <c r="I4" i="29" a="1"/>
  <c r="I4" i="29" s="1"/>
  <c r="I3" i="29" a="1"/>
  <c r="I3" i="29" s="1"/>
  <c r="I2" i="29" a="1"/>
  <c r="I2" i="29" s="1"/>
  <c r="I24" i="28" a="1"/>
  <c r="I24" i="28" s="1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 a="1"/>
  <c r="B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6" i="28" a="1"/>
  <c r="I16" i="28" s="1"/>
  <c r="I17" i="28" a="1"/>
  <c r="I17" i="28" s="1"/>
  <c r="I15" i="28" a="1"/>
  <c r="I15" i="28" s="1"/>
  <c r="I9" i="28" a="1"/>
  <c r="I9" i="28" s="1"/>
  <c r="I13" i="28" a="1"/>
  <c r="I13" i="28" s="1"/>
  <c r="I12" i="28" a="1"/>
  <c r="I12" i="28" s="1"/>
  <c r="I7" i="28" a="1"/>
  <c r="I7" i="28" s="1"/>
  <c r="I5" i="28" a="1"/>
  <c r="I5" i="28" s="1"/>
  <c r="I14" i="28" a="1"/>
  <c r="I14" i="28" s="1"/>
  <c r="I11" i="28" a="1"/>
  <c r="I11" i="28" s="1"/>
  <c r="I4" i="28" a="1"/>
  <c r="I4" i="28" s="1"/>
  <c r="I10" i="28" a="1"/>
  <c r="I10" i="28" s="1"/>
  <c r="I2" i="28" a="1"/>
  <c r="I2" i="28" s="1"/>
  <c r="I3" i="28" a="1"/>
  <c r="I3" i="28" s="1"/>
  <c r="I8" i="28" a="1"/>
  <c r="I8" i="28" s="1"/>
  <c r="I6" i="28" a="1"/>
  <c r="I6" i="28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<sst xmlns="http://schemas.openxmlformats.org/spreadsheetml/2006/main" count="2911" uniqueCount="320">
  <si>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</si>
  <si>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</si>
  <si>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</si>
  <si>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</si>
  <si>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</si>
  <si>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</si>
  <si>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</si>
  <si>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</si>
  <si>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</si>
  <si>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</si>
  <si>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</si>
  <si>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</si>
  <si>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</si>
  <si>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</si>
  <si>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</si>
  <si>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</si>
  <si>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</si>
  <si>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</si>
  <si>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</si>
  <si>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</si>
  <si>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</si>
  <si>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</si>
  <si>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</si>
  <si>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</si>
  <si>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</si>
  <si>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</si>
  <si>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</si>
  <si>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</si>
  <si>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</si>
  <si>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</si>
  <si>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</si>
  <si>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</si>
  <si>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</si>
  <si>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</si>
  <si>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</si>
  <si>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</si>
  <si>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</si>
  <si>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</si>
  <si>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</si>
  <si>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</si>
  <si>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</si>
  <si>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</si>
  <si>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</si>
  <si>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</si>
  <si>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</si>
  <si>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</si>
  <si>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</si>
  <si>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</si>
  <si>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</si>
  <si>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</si>
  <si>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</si>
  <si>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</si>
  <si>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</si>
  <si>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</si>
  <si>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</si>
  <si>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</si>
  <si>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</si>
  <si>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</si>
  <si>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</si>
  <si>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</si>
  <si>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</si>
  <si>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</si>
  <si>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</si>
  <si>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</si>
  <si>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</si>
  <si>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</si>
  <si>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</si>
  <si>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</si>
  <si>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</si>
  <si>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</si>
  <si>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</si>
  <si>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</si>
  <si>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</si>
  <si>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</si>
  <si>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</si>
  <si>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</si>
  <si>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</si>
  <si>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</si>
  <si>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</si>
  <si>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</si>
  <si>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</si>
  <si>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</si>
  <si>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</si>
  <si>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</si>
  <si>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</si>
  <si>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</si>
  <si>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</si>
  <si>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</si>
  <si>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</si>
  <si>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</si>
  <si>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</si>
  <si>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</si>
  <si>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</si>
  <si>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</si>
  <si>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</si>
  <si>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</si>
  <si>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</si>
  <si>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</si>
  <si>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</si>
  <si>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</si>
  <si>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</si>
  <si>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</si>
  <si>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</si>
  <si>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</si>
  <si>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</si>
  <si>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</si>
  <si>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</si>
  <si>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</si>
  <si>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</si>
  <si>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</si>
  <si>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</si>
  <si>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</si>
  <si>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</si>
  <si>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</si>
  <si>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</si>
  <si>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</si>
  <si>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</si>
  <si>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</si>
  <si>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</si>
  <si>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</si>
  <si>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</si>
  <si>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</si>
  <si>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</si>
  <si>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</si>
  <si>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</si>
  <si>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</si>
  <si>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</si>
  <si>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</si>
  <si>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</si>
  <si>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</si>
  <si>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</si>
  <si>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</si>
  <si>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</si>
  <si>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</si>
  <si>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</si>
  <si>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</si>
  <si>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</si>
  <si>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</si>
  <si>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</si>
  <si>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</si>
  <si>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</si>
  <si>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</si>
  <si>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</si>
  <si>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</si>
  <si>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</si>
  <si>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</si>
  <si>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</si>
  <si>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</si>
  <si>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</si>
  <si>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</si>
  <si>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</si>
  <si>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</si>
  <si>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</si>
  <si>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</si>
  <si>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</si>
  <si>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</si>
  <si>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</si>
  <si>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</si>
  <si>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</si>
  <si>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</si>
  <si>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</si>
  <si>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</si>
  <si>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</si>
  <si>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</si>
  <si>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</si>
  <si>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</si>
  <si>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</si>
  <si>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</si>
  <si>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</si>
  <si>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</si>
  <si>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</si>
  <si>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</si>
  <si>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</si>
  <si>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</si>
  <si>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</si>
  <si>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</si>
  <si>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</si>
  <si>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</si>
  <si>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</si>
  <si>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</si>
  <si>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</si>
  <si>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</si>
  <si>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</si>
  <si>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</si>
  <si>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</si>
  <si>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</si>
  <si>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</si>
  <si>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</si>
  <si>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</si>
  <si>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</si>
  <si>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</si>
  <si>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</si>
  <si>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</si>
  <si>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</si>
  <si>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</si>
  <si>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</si>
  <si>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</si>
  <si>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</si>
  <si>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</si>
  <si>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</si>
  <si>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</si>
  <si>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</si>
  <si>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</si>
  <si>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</si>
  <si>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</si>
  <si>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</si>
  <si>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</si>
  <si>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</si>
  <si>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</si>
  <si>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</si>
  <si>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</si>
  <si>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</si>
  <si>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</si>
  <si>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</si>
  <si>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</si>
  <si>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</si>
  <si>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</si>
  <si>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</si>
  <si>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</si>
  <si>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</si>
  <si>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</si>
  <si>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</si>
  <si>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</si>
  <si>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</si>
  <si>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</si>
  <si>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</si>
  <si>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</si>
  <si>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</si>
  <si>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</si>
  <si>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</si>
  <si>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</si>
  <si>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</si>
  <si>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</si>
  <si>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</si>
  <si>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</si>
  <si>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</si>
  <si>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</si>
  <si>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</si>
  <si>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</si>
  <si>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</si>
  <si>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</si>
  <si>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</si>
  <si>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</si>
  <si>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</si>
  <si>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</si>
  <si>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</si>
  <si>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</si>
  <si>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</si>
  <si>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</si>
  <si>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</si>
  <si>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</si>
  <si>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</si>
  <si>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</si>
  <si>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</si>
  <si>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</si>
  <si>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</si>
  <si>
    <t>6월 15일</t>
    <phoneticPr fontId="1" type="noConversion"/>
  </si>
  <si>
    <t>6월 16일</t>
  </si>
  <si>
    <t>6월 17일</t>
  </si>
  <si>
    <t>6월 18일</t>
  </si>
  <si>
    <t>6월 19일</t>
  </si>
  <si>
    <t>6월 20일</t>
  </si>
  <si>
    <t>6월 21일</t>
  </si>
  <si>
    <t>7 (29%)</t>
  </si>
  <si>
    <t>8 (38%)</t>
  </si>
  <si>
    <t>금사향</t>
    <phoneticPr fontId="1" type="noConversion"/>
  </si>
  <si>
    <t>분수</t>
    <phoneticPr fontId="1" type="noConversion"/>
  </si>
  <si>
    <t>아픔</t>
    <phoneticPr fontId="1" type="noConversion"/>
  </si>
  <si>
    <t>12 (42%)</t>
  </si>
  <si>
    <t>6월 22일</t>
    <phoneticPr fontId="1" type="noConversion"/>
  </si>
  <si>
    <t>6월 23일</t>
  </si>
  <si>
    <t>6월 24일</t>
  </si>
  <si>
    <t>6월 25일</t>
  </si>
  <si>
    <t>6월 26일</t>
  </si>
  <si>
    <t>6월 27일</t>
  </si>
  <si>
    <t>6월 28일</t>
  </si>
  <si>
    <t>뭉치핑</t>
    <phoneticPr fontId="1" type="noConversion"/>
  </si>
  <si>
    <t>재범</t>
    <phoneticPr fontId="1" type="noConversion"/>
  </si>
  <si>
    <t>연가</t>
    <phoneticPr fontId="1" type="noConversion"/>
  </si>
  <si>
    <t>캄척</t>
    <phoneticPr fontId="1" type="noConversion"/>
  </si>
  <si>
    <t>7월 6일</t>
    <phoneticPr fontId="1" type="noConversion"/>
  </si>
  <si>
    <t>7월 7일</t>
  </si>
  <si>
    <t>7월 8일</t>
  </si>
  <si>
    <t>7월 9일</t>
  </si>
  <si>
    <t>7월 10일</t>
  </si>
  <si>
    <t>7월 11일</t>
  </si>
  <si>
    <t>7월 12일</t>
  </si>
  <si>
    <t>도윤</t>
    <phoneticPr fontId="1" type="noConversion"/>
  </si>
  <si>
    <t>요지</t>
    <phoneticPr fontId="1" type="noConversion"/>
  </si>
  <si>
    <t>0 (0%)</t>
    <phoneticPr fontId="1" type="noConversion"/>
  </si>
  <si>
    <t>가입 예정</t>
    <phoneticPr fontId="1" type="noConversion"/>
  </si>
  <si>
    <t>14 (71%)</t>
  </si>
  <si>
    <t>7월 13일</t>
    <phoneticPr fontId="1" type="noConversion"/>
  </si>
  <si>
    <t>7월 14일</t>
  </si>
  <si>
    <t>7월 15일</t>
  </si>
  <si>
    <t>7월 16일</t>
  </si>
  <si>
    <t>7월 17일</t>
  </si>
  <si>
    <t>7월 18일</t>
  </si>
  <si>
    <t>7월 19일</t>
  </si>
  <si>
    <t>뽀로로</t>
    <phoneticPr fontId="1" type="noConversion"/>
  </si>
  <si>
    <t>INFORA</t>
    <phoneticPr fontId="1" type="noConversion"/>
  </si>
  <si>
    <t>7월 20일</t>
    <phoneticPr fontId="1" type="noConversion"/>
  </si>
  <si>
    <t>7월 21일</t>
  </si>
  <si>
    <t>7월 22일</t>
  </si>
  <si>
    <t>7월 23일</t>
  </si>
  <si>
    <t>7월 24일</t>
  </si>
  <si>
    <t>7월 25일</t>
  </si>
  <si>
    <t>7월 26일</t>
  </si>
  <si>
    <t>3번 + 명성</t>
    <phoneticPr fontId="1" type="noConversion"/>
  </si>
  <si>
    <t>7월 27일</t>
    <phoneticPr fontId="1" type="noConversion"/>
  </si>
  <si>
    <t>7월 28일</t>
  </si>
  <si>
    <t>7월 29일</t>
  </si>
  <si>
    <t>7월 30일</t>
  </si>
  <si>
    <t>7월 31일</t>
  </si>
  <si>
    <t>8월 1일</t>
    <phoneticPr fontId="1" type="noConversion"/>
  </si>
  <si>
    <t>8월 2일</t>
  </si>
  <si>
    <t>6 (17%)</t>
  </si>
  <si>
    <t>6 (100%)</t>
  </si>
  <si>
    <t>9 (44%)</t>
  </si>
  <si>
    <t>예다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</si>
</sst>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92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87"/>
    <sortCondition sortBy="cellColor" ref="I2:I19" dxfId="86"/>
    <sortCondition sortBy="cellColor" ref="I2:I19" dxfId="85"/>
    <sortCondition sortBy="cellColor" ref="I2:I19" dxfId="84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83"/>
    <sortCondition sortBy="cellColor" ref="B2:B18" dxfId="82"/>
    <sortCondition sortBy="cellColor" ref="B2:B18" dxfId="81"/>
    <sortCondition sortBy="cellColor" ref="B2:B18" dxfId="80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79"/>
    <sortCondition sortBy="cellColor" ref="I2:I22" dxfId="78"/>
    <sortCondition sortBy="cellColor" ref="I2:I22" dxfId="77"/>
    <sortCondition sortBy="cellColor" ref="I2:I22" dxfId="76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75"/>
    <sortCondition sortBy="cellColor" ref="I2:I27" dxfId="74"/>
    <sortCondition sortBy="cellColor" ref="I2:I27" dxfId="73"/>
    <sortCondition sortBy="cellColor" ref="I2:I27" dxfId="72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71"/>
    <sortCondition sortBy="cellColor" ref="I2:I24" dxfId="70"/>
    <sortCondition sortBy="cellColor" ref="I2:I24" dxfId="69"/>
    <sortCondition sortBy="cellColor" ref="I2:I24" dxfId="68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67"/>
    <sortCondition sortBy="cellColor" ref="I2:I26" dxfId="66"/>
    <sortCondition sortBy="cellColor" ref="I2:I26" dxfId="65"/>
    <sortCondition sortBy="cellColor" ref="I2:I26" dxfId="64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63"/>
    <sortCondition sortBy="cellColor" ref="I2:I23" dxfId="62"/>
    <sortCondition sortBy="cellColor" ref="I2:I23" dxfId="61"/>
    <sortCondition sortBy="cellColor" ref="I2:I23" dxfId="60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59"/>
    <sortCondition sortBy="cellColor" ref="I2:I26" dxfId="58"/>
    <sortCondition sortBy="cellColor" ref="I2:I26" dxfId="57"/>
    <sortCondition sortBy="cellColor" ref="I2:I26" dxfId="56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55"/>
    <sortCondition sortBy="cellColor" ref="I2:I25" dxfId="54"/>
    <sortCondition sortBy="cellColor" ref="I2:I25" dxfId="53"/>
    <sortCondition sortBy="cellColor" ref="I2:I25" dxfId="52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51"/>
    <sortCondition sortBy="cellColor" ref="I2:I22" dxfId="50"/>
    <sortCondition sortBy="cellColor" ref="I2:I22" dxfId="49"/>
    <sortCondition sortBy="cellColor" ref="I2:I22" dxfId="48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47"/>
    <sortCondition sortBy="cellColor" ref="I2:I23" dxfId="46"/>
    <sortCondition sortBy="cellColor" ref="I2:I23" dxfId="45"/>
    <sortCondition sortBy="cellColor" ref="I2:I23" dxfId="44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43"/>
    <sortCondition sortBy="cellColor" ref="I2:I25" dxfId="42"/>
    <sortCondition sortBy="cellColor" ref="I2:I25" dxfId="41"/>
    <sortCondition sortBy="cellColor" ref="I2:I25" dxfId="4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9"/>
    <sortCondition sortBy="cellColor" ref="I2:I25" dxfId="38"/>
    <sortCondition sortBy="cellColor" ref="I2:I25" dxfId="37"/>
    <sortCondition descending="1" sortBy="cellColor" ref="I2:I25" dxfId="3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35"/>
    <sortCondition sortBy="cellColor" ref="I2:I26" dxfId="34"/>
    <sortCondition sortBy="cellColor" ref="I2:I26" dxfId="33"/>
    <sortCondition sortBy="cellColor" ref="I2:I26" dxfId="32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1"/>
    <sortCondition sortBy="cellColor" ref="I2:I25" dxfId="30"/>
    <sortCondition sortBy="cellColor" ref="I2:I25" dxfId="29"/>
    <sortCondition sortBy="cellColor" ref="I2:I25" dxfId="2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7"/>
    <sortCondition sortBy="cellColor" ref="I2:I25" dxfId="26"/>
    <sortCondition sortBy="cellColor" ref="I2:I25" dxfId="25"/>
    <sortCondition sortBy="cellColor" ref="J2:J25" dxfId="2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3"/>
    <sortCondition sortBy="cellColor" ref="I2:I25" dxfId="22"/>
    <sortCondition sortBy="cellColor" ref="I2:I25" dxfId="21"/>
    <sortCondition sortBy="cellColor" ref="I2:I25" dxfId="2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zoomScale="75" workbookViewId="0">
      <selection activeCell="J13" sqref="J1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19"/>
    <sortCondition sortBy="cellColor" ref="I2:I24" dxfId="18"/>
    <sortCondition sortBy="cellColor" ref="I2:I24" dxfId="17"/>
    <sortCondition sortBy="cellColor" ref="I2:I24" dxfId="16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49BA-9334-494A-8CF0-961E5818F918}">
  <dimension ref="A1:K24"/>
  <sheetViews>
    <sheetView zoomScale="75" workbookViewId="0">
      <selection activeCell="F28" sqref="F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256</v>
      </c>
      <c r="C1" s="13" t="s">
        <v>257</v>
      </c>
      <c r="D1" s="13" t="s">
        <v>258</v>
      </c>
      <c r="E1" s="13" t="s">
        <v>259</v>
      </c>
      <c r="F1" s="13" t="s">
        <v>260</v>
      </c>
      <c r="G1" s="13" t="s">
        <v>261</v>
      </c>
      <c r="H1" s="13" t="s">
        <v>262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49</v>
      </c>
      <c r="C2" s="3" t="s">
        <v>47</v>
      </c>
      <c r="D2" s="3" t="s">
        <v>75</v>
      </c>
      <c r="E2" s="3" t="s">
        <v>67</v>
      </c>
      <c r="F2" s="3" t="s">
        <v>48</v>
      </c>
      <c r="G2" s="3" t="s">
        <v>49</v>
      </c>
      <c r="H2" s="3" t="s">
        <v>75</v>
      </c>
      <c r="I2" s="17" t="str" cm="1">
        <f t="array" ref="I2">IF(COUNTA(B2:H2)=0,"0 (0%)",SUMPRODUCT(LEN(B2:H2))&amp;" ("&amp;TEXT(SUMPRODUCT(LEN(B2:H2)-LEN(SUBSTITUTE(B2:H2,"W","")))/SUMPRODUCT(LEN(B2:H2)),"0%")&amp;")")</f>
        <v>12 (42%)</v>
      </c>
      <c r="J2" s="21" t="s">
        <v>246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48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263</v>
      </c>
      <c r="K3" s="21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48</v>
      </c>
      <c r="E4" s="3"/>
      <c r="F4" s="3" t="s">
        <v>47</v>
      </c>
      <c r="G4" s="3" t="s">
        <v>47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147</v>
      </c>
      <c r="K4" s="3"/>
    </row>
    <row r="5" spans="1:11" x14ac:dyDescent="0.6">
      <c r="A5" s="23" t="s">
        <v>265</v>
      </c>
      <c r="B5" s="3"/>
      <c r="C5" s="3" t="s">
        <v>48</v>
      </c>
      <c r="D5" s="3" t="s">
        <v>48</v>
      </c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21" t="s">
        <v>166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/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(20%)</v>
      </c>
      <c r="J6" s="21" t="s">
        <v>144</v>
      </c>
      <c r="K6" s="3"/>
    </row>
    <row r="7" spans="1:11" x14ac:dyDescent="0.6">
      <c r="A7" s="23" t="s">
        <v>266</v>
      </c>
      <c r="B7" s="3"/>
      <c r="C7" s="3"/>
      <c r="D7" s="3" t="s">
        <v>48</v>
      </c>
      <c r="E7" s="3" t="s">
        <v>48</v>
      </c>
      <c r="F7" s="3" t="s">
        <v>48</v>
      </c>
      <c r="G7" s="3" t="s">
        <v>47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166</v>
      </c>
      <c r="K7" s="3"/>
    </row>
    <row r="8" spans="1:11" x14ac:dyDescent="0.6">
      <c r="A8" s="25" t="s">
        <v>12</v>
      </c>
      <c r="B8" s="7" t="s">
        <v>48</v>
      </c>
      <c r="C8" s="7" t="s">
        <v>47</v>
      </c>
      <c r="D8" s="7" t="s">
        <v>48</v>
      </c>
      <c r="E8" s="7" t="s">
        <v>47</v>
      </c>
      <c r="F8" s="7"/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186</v>
      </c>
      <c r="K8" s="7"/>
    </row>
    <row r="9" spans="1:11" x14ac:dyDescent="0.6">
      <c r="A9" s="25" t="s">
        <v>7</v>
      </c>
      <c r="B9" s="7" t="s">
        <v>47</v>
      </c>
      <c r="C9" s="7"/>
      <c r="D9" s="7" t="s">
        <v>48</v>
      </c>
      <c r="E9" s="7"/>
      <c r="F9" s="7" t="s">
        <v>48</v>
      </c>
      <c r="G9" s="7"/>
      <c r="H9" s="7" t="s">
        <v>48</v>
      </c>
      <c r="I9" s="18" t="str" cm="1">
        <f t="array" ref="I9">IF(COUNTA(B9:H9)=0,"0 (0%)",SUMPRODUCT(LEN(B9:H9))&amp;" ("&amp;TEXT(SUMPRODUCT(LEN(B9:H9)-LEN(SUBSTITUTE(B9:H9,"W","")))/SUMPRODUCT(LEN(B9:H9)),"0%")&amp;")")</f>
        <v>4 (25%)</v>
      </c>
      <c r="J9" s="16" t="s">
        <v>148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47</v>
      </c>
      <c r="E10" s="7"/>
      <c r="F10" s="7" t="s">
        <v>47</v>
      </c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(100%)</v>
      </c>
      <c r="J10" s="16" t="s">
        <v>163</v>
      </c>
      <c r="K10" s="7"/>
    </row>
    <row r="11" spans="1:11" x14ac:dyDescent="0.6">
      <c r="A11" s="25" t="s">
        <v>9</v>
      </c>
      <c r="B11" s="7" t="s">
        <v>48</v>
      </c>
      <c r="C11" s="7"/>
      <c r="D11" s="7"/>
      <c r="E11" s="7" t="s">
        <v>47</v>
      </c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(33%)</v>
      </c>
      <c r="J11" s="16" t="s">
        <v>150</v>
      </c>
      <c r="K11" s="7"/>
    </row>
    <row r="12" spans="1:11" x14ac:dyDescent="0.6">
      <c r="A12" s="24" t="s">
        <v>220</v>
      </c>
      <c r="B12" s="9"/>
      <c r="C12" s="9" t="s">
        <v>48</v>
      </c>
      <c r="D12" s="9"/>
      <c r="E12" s="9" t="s">
        <v>47</v>
      </c>
      <c r="F12" s="9"/>
      <c r="G12" s="9" t="s">
        <v>47</v>
      </c>
      <c r="H12" s="9" t="s">
        <v>48</v>
      </c>
      <c r="I12" s="19" t="str" cm="1">
        <f t="array" ref="I12">IF(COUNTA(B12:H12)=0,"0 (0%)",SUMPRODUCT(LEN(B12:H12))&amp;" ("&amp;TEXT(SUMPRODUCT(LEN(B12:H12)-LEN(SUBSTITUTE(B12:H12,"W","")))/SUMPRODUCT(LEN(B12:H12)),"0%")&amp;")")</f>
        <v>4 (50%)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/>
      <c r="C13" s="9" t="s">
        <v>48</v>
      </c>
      <c r="D13" s="9"/>
      <c r="E13" s="9" t="s">
        <v>48</v>
      </c>
      <c r="F13" s="9"/>
      <c r="G13" s="9" t="s">
        <v>47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152</v>
      </c>
      <c r="K13" s="9" t="s">
        <v>41</v>
      </c>
    </row>
    <row r="14" spans="1:11" x14ac:dyDescent="0.6">
      <c r="A14" s="24" t="s">
        <v>38</v>
      </c>
      <c r="B14" s="9"/>
      <c r="C14" s="9" t="s">
        <v>47</v>
      </c>
      <c r="D14" s="9"/>
      <c r="E14" s="9"/>
      <c r="F14" s="9"/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1 (100%)</v>
      </c>
      <c r="J14" s="22" t="s">
        <v>150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48</v>
      </c>
      <c r="C16" s="5" t="s">
        <v>48</v>
      </c>
      <c r="D16" s="5" t="s">
        <v>47</v>
      </c>
      <c r="E16" s="5" t="s">
        <v>47</v>
      </c>
      <c r="F16" s="5" t="s">
        <v>47</v>
      </c>
      <c r="G16" s="5" t="s">
        <v>47</v>
      </c>
      <c r="H16" s="5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7 (57%)</v>
      </c>
      <c r="J16" s="12" t="s">
        <v>143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47</v>
      </c>
      <c r="D17" s="12" t="s">
        <v>48</v>
      </c>
      <c r="E17" s="12" t="s">
        <v>48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(43%)</v>
      </c>
      <c r="J17" s="12" t="s">
        <v>264</v>
      </c>
      <c r="K17" s="12" t="s">
        <v>201</v>
      </c>
    </row>
    <row r="18" spans="1:11" x14ac:dyDescent="0.6">
      <c r="A18" s="26" t="s">
        <v>140</v>
      </c>
      <c r="B18" s="5" t="s">
        <v>48</v>
      </c>
      <c r="C18" s="5" t="s">
        <v>48</v>
      </c>
      <c r="D18" s="5" t="s">
        <v>47</v>
      </c>
      <c r="E18" s="5"/>
      <c r="F18" s="5" t="s">
        <v>48</v>
      </c>
      <c r="G18" s="5" t="s">
        <v>47</v>
      </c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5 (40%)</v>
      </c>
      <c r="J18" s="12" t="s">
        <v>162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168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3" t="str" cm="1">
        <f t="array" ref="C24">IF(COUNTA(C2:C23)=0,"0 (0%)",SUMPRODUCT(LEN(C2:C23))&amp;" ("&amp;TEXT(SUMPRODUCT(LEN(C2:C23)-LEN(SUBSTITUTE(C2:C23,"W","")))/SUMPRODUCT(LEN(C2:C23)),"0%")&amp;")")</f>
        <v>12 (58%)</v>
      </c>
      <c r="D24" s="3" t="str" cm="1">
        <f t="array" ref="D24">IF(COUNTA(D2:D23)=0,"0 (0%)",SUMPRODUCT(LEN(D2:D23))&amp;" ("&amp;TEXT(SUMPRODUCT(LEN(D2:D23)-LEN(SUBSTITUTE(D2:D23,"W","")))/SUMPRODUCT(LEN(D2:D23)),"0%")&amp;")")</f>
        <v>12 (42%)</v>
      </c>
      <c r="E24" s="3" t="str" cm="1">
        <f t="array" ref="E24">IF(COUNTA(E2:E23)=0,"0 (0%)",SUMPRODUCT(LEN(E2:E23))&amp;" ("&amp;TEXT(SUMPRODUCT(LEN(E2:E23)-LEN(SUBSTITUTE(E2:E23,"W","")))/SUMPRODUCT(LEN(E2:E23)),"0%")&amp;")")</f>
        <v>12 (67%)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(25%)</v>
      </c>
      <c r="I24" s="1" t="str" cm="1">
        <f t="array" ref="I24">IF(COUNTA(B2:H23)=0,"0 (0%)",SUMPRODUCT(LEN(B2:H23))&amp;" ("&amp;TEXT(SUMPRODUCT(LEN(B2:H23)-LEN(SUBSTITUTE(B2:H23,"W","")))/SUMPRODUCT(LEN(B2:H23)),"0%")&amp;")")</f>
        <v>84 (45%)</v>
      </c>
      <c r="J24" s="1" t="s">
        <v>132</v>
      </c>
      <c r="K24" s="1"/>
    </row>
  </sheetData>
  <sortState xmlns:xlrd2="http://schemas.microsoft.com/office/spreadsheetml/2017/richdata2" ref="A3:K23">
    <sortCondition sortBy="cellColor" ref="I3:I23" dxfId="15"/>
    <sortCondition sortBy="cellColor" ref="I3:I23" dxfId="14"/>
    <sortCondition sortBy="cellColor" ref="I3:I23" dxfId="13"/>
    <sortCondition sortBy="cellColor" ref="I3:I23" dxfId="12"/>
    <sortCondition descending="1" ref="I3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216E-C9EA-4820-9C82-FA16AC4E8359}">
  <dimension ref="A1:K24"/>
  <sheetViews>
    <sheetView zoomScale="75" workbookViewId="0">
      <selection sqref="A1:K2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269</v>
      </c>
      <c r="C1" s="13" t="s">
        <v>270</v>
      </c>
      <c r="D1" s="13" t="s">
        <v>271</v>
      </c>
      <c r="E1" s="13" t="s">
        <v>272</v>
      </c>
      <c r="F1" s="13" t="s">
        <v>273</v>
      </c>
      <c r="G1" s="13" t="s">
        <v>274</v>
      </c>
      <c r="H1" s="13" t="s">
        <v>275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/>
      <c r="C2" s="3" t="s">
        <v>47</v>
      </c>
      <c r="D2" s="3" t="s">
        <v>75</v>
      </c>
      <c r="E2" s="3" t="s">
        <v>47</v>
      </c>
      <c r="F2" s="3" t="s">
        <v>48</v>
      </c>
      <c r="G2" s="3" t="s">
        <v>75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268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48</v>
      </c>
      <c r="F3" s="21" t="s">
        <v>47</v>
      </c>
      <c r="G3" s="21" t="s">
        <v>48</v>
      </c>
      <c r="H3" s="21"/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144</v>
      </c>
      <c r="K3" s="21"/>
    </row>
    <row r="4" spans="1:11" x14ac:dyDescent="0.6">
      <c r="A4" s="23" t="s">
        <v>121</v>
      </c>
      <c r="B4" s="3" t="s">
        <v>47</v>
      </c>
      <c r="C4" s="3" t="s">
        <v>47</v>
      </c>
      <c r="D4" s="3" t="s">
        <v>48</v>
      </c>
      <c r="E4" s="3" t="s">
        <v>47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162</v>
      </c>
      <c r="K4" s="3"/>
    </row>
    <row r="5" spans="1:11" x14ac:dyDescent="0.6">
      <c r="A5" s="23" t="s">
        <v>265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189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(17%)</v>
      </c>
      <c r="J6" s="21" t="s">
        <v>147</v>
      </c>
      <c r="K6" s="3"/>
    </row>
    <row r="7" spans="1:11" x14ac:dyDescent="0.6">
      <c r="A7" s="23" t="s">
        <v>266</v>
      </c>
      <c r="B7" s="3" t="s">
        <v>48</v>
      </c>
      <c r="C7" s="3" t="s">
        <v>47</v>
      </c>
      <c r="D7" s="3" t="s">
        <v>48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147</v>
      </c>
      <c r="K7" s="3"/>
    </row>
    <row r="8" spans="1:11" x14ac:dyDescent="0.6">
      <c r="A8" s="25" t="s">
        <v>12</v>
      </c>
      <c r="B8" s="7"/>
      <c r="C8" s="7"/>
      <c r="D8" s="7" t="s">
        <v>47</v>
      </c>
      <c r="E8" s="7" t="s">
        <v>47</v>
      </c>
      <c r="F8" s="7" t="s">
        <v>48</v>
      </c>
      <c r="G8" s="7" t="s">
        <v>48</v>
      </c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149</v>
      </c>
      <c r="K8" s="7"/>
    </row>
    <row r="9" spans="1:11" x14ac:dyDescent="0.6">
      <c r="A9" s="25" t="s">
        <v>7</v>
      </c>
      <c r="B9" s="7"/>
      <c r="C9" s="7" t="s">
        <v>48</v>
      </c>
      <c r="D9" s="7"/>
      <c r="E9" s="7" t="s">
        <v>47</v>
      </c>
      <c r="F9" s="7"/>
      <c r="G9" s="7" t="s">
        <v>48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(33%)</v>
      </c>
      <c r="J9" s="16" t="s">
        <v>152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48</v>
      </c>
      <c r="E10" s="7" t="s">
        <v>48</v>
      </c>
      <c r="F10" s="7" t="s">
        <v>47</v>
      </c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165</v>
      </c>
      <c r="K10" s="7"/>
    </row>
    <row r="11" spans="1:11" x14ac:dyDescent="0.6">
      <c r="A11" s="25" t="s">
        <v>9</v>
      </c>
      <c r="B11" s="7" t="s">
        <v>47</v>
      </c>
      <c r="C11" s="7" t="s">
        <v>47</v>
      </c>
      <c r="D11" s="7"/>
      <c r="E11" s="7"/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148</v>
      </c>
      <c r="K11" s="7"/>
    </row>
    <row r="12" spans="1:11" x14ac:dyDescent="0.6">
      <c r="A12" s="24" t="s">
        <v>220</v>
      </c>
      <c r="B12" s="9" t="s">
        <v>47</v>
      </c>
      <c r="C12" s="9" t="s">
        <v>47</v>
      </c>
      <c r="D12" s="9"/>
      <c r="E12" s="9" t="s">
        <v>47</v>
      </c>
      <c r="F12" s="9"/>
      <c r="G12" s="9" t="s">
        <v>48</v>
      </c>
      <c r="H12" s="9"/>
      <c r="I12" s="19" t="str" cm="1">
        <f t="array" ref="I12">IF(COUNTA(B12:H12)=0,"0 (0%)",SUMPRODUCT(LEN(B12:H12))&amp;" ("&amp;TEXT(SUMPRODUCT(LEN(B12:H12)-LEN(SUBSTITUTE(B12:H12,"W","")))/SUMPRODUCT(LEN(B12:H12)),"0%")&amp;")")</f>
        <v>4 (75%)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 t="s">
        <v>48</v>
      </c>
      <c r="C13" s="9"/>
      <c r="D13" s="9"/>
      <c r="E13" s="9"/>
      <c r="F13" s="9" t="s">
        <v>47</v>
      </c>
      <c r="G13" s="9" t="s">
        <v>48</v>
      </c>
      <c r="H13" s="9"/>
      <c r="I13" s="19" t="str" cm="1">
        <f t="array" ref="I13">IF(COUNTA(B13:H13)=0,"0 (0%)",SUMPRODUCT(LEN(B13:H13))&amp;" ("&amp;TEXT(SUMPRODUCT(LEN(B13:H13)-LEN(SUBSTITUTE(B13:H13,"W","")))/SUMPRODUCT(LEN(B13:H13)),"0%")&amp;")")</f>
        <v>3 (33%)</v>
      </c>
      <c r="J13" s="22" t="s">
        <v>149</v>
      </c>
      <c r="K13" s="9" t="s">
        <v>41</v>
      </c>
    </row>
    <row r="14" spans="1:11" x14ac:dyDescent="0.6">
      <c r="A14" s="24" t="s">
        <v>38</v>
      </c>
      <c r="B14" s="9" t="s">
        <v>47</v>
      </c>
      <c r="C14" s="9"/>
      <c r="D14" s="9" t="s">
        <v>48</v>
      </c>
      <c r="E14" s="9" t="s">
        <v>48</v>
      </c>
      <c r="F14" s="9" t="s">
        <v>47</v>
      </c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183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47</v>
      </c>
      <c r="C16" s="5" t="s">
        <v>48</v>
      </c>
      <c r="D16" s="5" t="s">
        <v>47</v>
      </c>
      <c r="E16" s="5" t="s">
        <v>47</v>
      </c>
      <c r="F16" s="5" t="s">
        <v>48</v>
      </c>
      <c r="G16" s="5" t="s">
        <v>48</v>
      </c>
      <c r="H16" s="5"/>
      <c r="I16" s="20" t="str" cm="1">
        <f t="array" ref="I16">IF(COUNTA(B16:H16)=0,"0 (0%)",SUMPRODUCT(LEN(B16:H16))&amp;" ("&amp;TEXT(SUMPRODUCT(LEN(B16:H16)-LEN(SUBSTITUTE(B16:H16,"W","")))/SUMPRODUCT(LEN(B16:H16)),"0%")&amp;")")</f>
        <v>6 (50%)</v>
      </c>
      <c r="J16" s="12" t="s">
        <v>144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48</v>
      </c>
      <c r="D17" s="12" t="s">
        <v>47</v>
      </c>
      <c r="E17" s="12" t="s">
        <v>47</v>
      </c>
      <c r="F17" s="12" t="s">
        <v>48</v>
      </c>
      <c r="G17" s="12" t="s">
        <v>47</v>
      </c>
      <c r="H17" s="12"/>
      <c r="I17" s="20" t="str" cm="1">
        <f t="array" ref="I17">IF(COUNTA(B17:H17)=0,"0 (0%)",SUMPRODUCT(LEN(B17:H17))&amp;" ("&amp;TEXT(SUMPRODUCT(LEN(B17:H17)-LEN(SUBSTITUTE(B17:H17,"W","")))/SUMPRODUCT(LEN(B17:H17)),"0%")&amp;")")</f>
        <v>6 (67%)</v>
      </c>
      <c r="J17" s="12" t="s">
        <v>186</v>
      </c>
      <c r="K17" s="12" t="s">
        <v>201</v>
      </c>
    </row>
    <row r="18" spans="1:11" x14ac:dyDescent="0.6">
      <c r="A18" s="26" t="s">
        <v>140</v>
      </c>
      <c r="B18" s="5"/>
      <c r="C18" s="5" t="s">
        <v>47</v>
      </c>
      <c r="D18" s="5"/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1 (100%)</v>
      </c>
      <c r="J18" s="12" t="s">
        <v>146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166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(58%)</v>
      </c>
      <c r="C24" s="3" t="str" cm="1">
        <f t="array" ref="C24">IF(COUNTA(C2:C23)=0,"0 (0%)",SUMPRODUCT(LEN(C2:C23))&amp;" ("&amp;TEXT(SUMPRODUCT(LEN(C2:C23)-LEN(SUBSTITUTE(C2:C23,"W","")))/SUMPRODUCT(LEN(C2:C23)),"0%")&amp;")")</f>
        <v>12 (67%)</v>
      </c>
      <c r="D24" s="3" t="str" cm="1">
        <f t="array" ref="D24">IF(COUNTA(D2:D23)=0,"0 (0%)",SUMPRODUCT(LEN(D2:D23))&amp;" ("&amp;TEXT(SUMPRODUCT(LEN(D2:D23)-LEN(SUBSTITUTE(D2:D23,"W","")))/SUMPRODUCT(LEN(D2:D23)),"0%")&amp;")")</f>
        <v>12 (50%)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(25%)</v>
      </c>
      <c r="H24" s="3" t="str" cm="1">
        <f t="array" ref="H24">IF(COUNTA(H2:H23)=0,"0 (0%)",SUMPRODUCT(LEN(H2:H23))&amp;" ("&amp;TEXT(SUMPRODUCT(LEN(H2:H23)-LEN(SUBSTITUTE(H2:H23,"W","")))/SUMPRODUCT(LEN(H2:H23)),"0%")&amp;")")</f>
        <v>0 (0%)</v>
      </c>
      <c r="I24" s="1" t="str" cm="1">
        <f t="array" ref="I24">IF(COUNTA(B2:H23)=0,"0 (0%)",SUMPRODUCT(LEN(B2:H23))&amp;" ("&amp;TEXT(SUMPRODUCT(LEN(B2:H23)-LEN(SUBSTITUTE(B2:H23,"W","")))/SUMPRODUCT(LEN(B2:H23)),"0%")&amp;")")</f>
        <v>72 (50%)</v>
      </c>
      <c r="J24" s="1" t="s">
        <v>132</v>
      </c>
      <c r="K24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2166-B613-48F8-80E3-192361B952B6}">
  <dimension ref="A1:K21"/>
  <sheetViews>
    <sheetView zoomScale="90" zoomScaleNormal="90" workbookViewId="0">
      <selection activeCell="N18" sqref="N1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280</v>
      </c>
      <c r="C1" s="13" t="s">
        <v>281</v>
      </c>
      <c r="D1" s="13" t="s">
        <v>282</v>
      </c>
      <c r="E1" s="10" t="s">
        <v>283</v>
      </c>
      <c r="F1" s="13" t="s">
        <v>284</v>
      </c>
      <c r="G1" s="13" t="s">
        <v>285</v>
      </c>
      <c r="H1" s="13" t="s">
        <v>286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75</v>
      </c>
      <c r="C2" s="3" t="s">
        <v>67</v>
      </c>
      <c r="D2" s="3" t="s">
        <v>75</v>
      </c>
      <c r="E2" s="3" t="s">
        <v>67</v>
      </c>
      <c r="F2" s="3" t="s">
        <v>67</v>
      </c>
      <c r="G2" s="3" t="s">
        <v>67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14 (71%)</v>
      </c>
      <c r="J2" s="21" t="s">
        <v>289</v>
      </c>
      <c r="K2" s="3" t="s">
        <v>44</v>
      </c>
    </row>
    <row r="3" spans="1:11" x14ac:dyDescent="0.6">
      <c r="A3" s="23" t="s">
        <v>2</v>
      </c>
      <c r="B3" s="3" t="s">
        <v>48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166</v>
      </c>
      <c r="K3" s="3"/>
    </row>
    <row r="4" spans="1:11" x14ac:dyDescent="0.6">
      <c r="A4" s="23" t="s">
        <v>277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166</v>
      </c>
      <c r="K4" s="3"/>
    </row>
    <row r="5" spans="1:11" x14ac:dyDescent="0.6">
      <c r="A5" s="23" t="s">
        <v>265</v>
      </c>
      <c r="B5" s="3" t="s">
        <v>47</v>
      </c>
      <c r="C5" s="3" t="s">
        <v>47</v>
      </c>
      <c r="D5" s="3"/>
      <c r="E5" s="3" t="s">
        <v>48</v>
      </c>
      <c r="F5" s="3" t="s">
        <v>48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166</v>
      </c>
      <c r="K5" s="3"/>
    </row>
    <row r="6" spans="1:11" x14ac:dyDescent="0.6">
      <c r="A6" s="23" t="s">
        <v>287</v>
      </c>
      <c r="B6" s="3" t="s">
        <v>47</v>
      </c>
      <c r="C6" s="3" t="s">
        <v>48</v>
      </c>
      <c r="D6" s="3" t="s">
        <v>48</v>
      </c>
      <c r="E6" s="3"/>
      <c r="F6" s="3" t="s">
        <v>47</v>
      </c>
      <c r="G6" s="3" t="s">
        <v>48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21" t="s">
        <v>166</v>
      </c>
      <c r="K6" s="3"/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166</v>
      </c>
      <c r="K7" s="3"/>
    </row>
    <row r="8" spans="1:11" x14ac:dyDescent="0.6">
      <c r="A8" s="24" t="s">
        <v>7</v>
      </c>
      <c r="B8" s="9" t="s">
        <v>48</v>
      </c>
      <c r="C8" s="9" t="s">
        <v>47</v>
      </c>
      <c r="D8" s="9"/>
      <c r="E8" s="9" t="s">
        <v>48</v>
      </c>
      <c r="F8" s="9"/>
      <c r="G8" s="9" t="s">
        <v>48</v>
      </c>
      <c r="H8" s="9"/>
      <c r="I8" s="19" t="str" cm="1">
        <f t="array" ref="I8">IF(COUNTA(B8:H8)=0,"0 (0%)",SUMPRODUCT(LEN(B8:H8))&amp;" ("&amp;TEXT(SUMPRODUCT(LEN(B8:H8)-LEN(SUBSTITUTE(B8:H8,"W","")))/SUMPRODUCT(LEN(B8:H8)),"0%")&amp;")")</f>
        <v>4 (25%)</v>
      </c>
      <c r="J8" s="22" t="s">
        <v>166</v>
      </c>
      <c r="K8" s="27" t="s">
        <v>69</v>
      </c>
    </row>
    <row r="9" spans="1:11" x14ac:dyDescent="0.6">
      <c r="A9" s="24" t="s">
        <v>33</v>
      </c>
      <c r="B9" s="9"/>
      <c r="C9" s="9"/>
      <c r="D9" s="9" t="s">
        <v>47</v>
      </c>
      <c r="E9" s="9"/>
      <c r="F9" s="9" t="s">
        <v>47</v>
      </c>
      <c r="G9" s="9" t="s">
        <v>48</v>
      </c>
      <c r="H9" s="9"/>
      <c r="I9" s="19" t="str" cm="1">
        <f t="array" ref="I9">IF(COUNTA(B9:H9)=0,"0 (0%)",SUMPRODUCT(LEN(B9:H9))&amp;" ("&amp;TEXT(SUMPRODUCT(LEN(B9:H9)-LEN(SUBSTITUTE(B9:H9,"W","")))/SUMPRODUCT(LEN(B9:H9)),"0%")&amp;")")</f>
        <v>3 (67%)</v>
      </c>
      <c r="J9" s="22" t="s">
        <v>166</v>
      </c>
      <c r="K9" s="9" t="s">
        <v>41</v>
      </c>
    </row>
    <row r="10" spans="1:11" x14ac:dyDescent="0.6">
      <c r="A10" s="24" t="s">
        <v>18</v>
      </c>
      <c r="B10" s="9"/>
      <c r="C10" s="9"/>
      <c r="D10" s="9"/>
      <c r="E10" s="9"/>
      <c r="F10" s="9"/>
      <c r="G10" s="9"/>
      <c r="H10" s="9"/>
      <c r="I10" s="19" t="str" cm="1">
        <f t="array" ref="I10">IF(COUNTA(B10:H10)=0,"0 (0%)",SUMPRODUCT(LEN(B10:H10))&amp;" ("&amp;TEXT(SUMPRODUCT(LEN(B10:H10)-LEN(SUBSTITUTE(B10:H10,"W","")))/SUMPRODUCT(LEN(B10:H10)),"0%")&amp;")")</f>
        <v>0 (0%)</v>
      </c>
      <c r="J10" s="22" t="s">
        <v>166</v>
      </c>
      <c r="K10" s="9"/>
    </row>
    <row r="11" spans="1:11" x14ac:dyDescent="0.6">
      <c r="A11" s="25" t="s">
        <v>187</v>
      </c>
      <c r="B11" s="16"/>
      <c r="C11" s="16" t="s">
        <v>47</v>
      </c>
      <c r="D11" s="16" t="s">
        <v>47</v>
      </c>
      <c r="E11" s="16" t="s">
        <v>48</v>
      </c>
      <c r="F11" s="16"/>
      <c r="G11" s="16"/>
      <c r="H11" s="16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166</v>
      </c>
      <c r="K11" s="16"/>
    </row>
    <row r="12" spans="1:11" x14ac:dyDescent="0.6">
      <c r="A12" s="25" t="s">
        <v>55</v>
      </c>
      <c r="B12" s="7" t="s">
        <v>47</v>
      </c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(50%)</v>
      </c>
      <c r="J12" s="16" t="s">
        <v>166</v>
      </c>
      <c r="K12" s="7"/>
    </row>
    <row r="13" spans="1:11" x14ac:dyDescent="0.6">
      <c r="A13" s="25" t="s">
        <v>9</v>
      </c>
      <c r="B13" s="7" t="s">
        <v>47</v>
      </c>
      <c r="C13" s="7"/>
      <c r="D13" s="7" t="s">
        <v>47</v>
      </c>
      <c r="E13" s="7"/>
      <c r="F13" s="7" t="s">
        <v>47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166</v>
      </c>
      <c r="K13" s="7"/>
    </row>
    <row r="14" spans="1:11" x14ac:dyDescent="0.6">
      <c r="A14" s="25" t="s">
        <v>279</v>
      </c>
      <c r="B14" s="7"/>
      <c r="C14" s="7"/>
      <c r="D14" s="7" t="s">
        <v>47</v>
      </c>
      <c r="E14" s="7" t="s">
        <v>47</v>
      </c>
      <c r="F14" s="7"/>
      <c r="G14" s="7"/>
      <c r="H14" s="7" t="s">
        <v>47</v>
      </c>
      <c r="I14" s="18" t="str" cm="1">
        <f t="array" ref="I14">IF(COUNTA(B14:H14)=0,"0 (0%)",SUMPRODUCT(LEN(B14:H14))&amp;" ("&amp;TEXT(SUMPRODUCT(LEN(B14:H14)-LEN(SUBSTITUTE(B14:H14,"W","")))/SUMPRODUCT(LEN(B14:H14)),"0%")&amp;")")</f>
        <v>3 (100%)</v>
      </c>
      <c r="J14" s="16" t="s">
        <v>166</v>
      </c>
      <c r="K14" s="7"/>
    </row>
    <row r="15" spans="1:11" x14ac:dyDescent="0.6">
      <c r="A15" s="25" t="s">
        <v>276</v>
      </c>
      <c r="B15" s="7"/>
      <c r="C15" s="7"/>
      <c r="D15" s="7"/>
      <c r="E15" s="7"/>
      <c r="F15" s="7"/>
      <c r="G15" s="7"/>
      <c r="H15" s="7" t="s">
        <v>47</v>
      </c>
      <c r="I15" s="18" t="str" cm="1">
        <f t="array" ref="I15">IF(COUNTA(B15:H15)=0,"0 (0%)",SUMPRODUCT(LEN(B15:H15))&amp;" ("&amp;TEXT(SUMPRODUCT(LEN(B15:H15)-LEN(SUBSTITUTE(B15:H15,"W","")))/SUMPRODUCT(LEN(B15:H15)),"0%")&amp;")")</f>
        <v>1 (100%)</v>
      </c>
      <c r="J15" s="16" t="s">
        <v>166</v>
      </c>
      <c r="K15" s="7"/>
    </row>
    <row r="16" spans="1:11" x14ac:dyDescent="0.6">
      <c r="A16" s="25" t="s">
        <v>12</v>
      </c>
      <c r="B16" s="7"/>
      <c r="C16" s="7"/>
      <c r="D16" s="7"/>
      <c r="E16" s="7"/>
      <c r="F16" s="7" t="s">
        <v>48</v>
      </c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1 (0%)</v>
      </c>
      <c r="J16" s="16" t="s">
        <v>166</v>
      </c>
      <c r="K16" s="7"/>
    </row>
    <row r="17" spans="1:11" x14ac:dyDescent="0.6">
      <c r="A17" s="26" t="s">
        <v>221</v>
      </c>
      <c r="B17" s="12" t="s">
        <v>47</v>
      </c>
      <c r="C17" s="12" t="s">
        <v>47</v>
      </c>
      <c r="D17" s="12" t="s">
        <v>48</v>
      </c>
      <c r="E17" s="12" t="s">
        <v>47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(57%)</v>
      </c>
      <c r="J17" s="12" t="s">
        <v>166</v>
      </c>
      <c r="K17" s="12" t="s">
        <v>125</v>
      </c>
    </row>
    <row r="18" spans="1:11" x14ac:dyDescent="0.6">
      <c r="A18" s="26" t="s">
        <v>278</v>
      </c>
      <c r="B18" s="5" t="s">
        <v>67</v>
      </c>
      <c r="C18" s="5" t="s">
        <v>47</v>
      </c>
      <c r="D18" s="5" t="s">
        <v>48</v>
      </c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4 (75%)</v>
      </c>
      <c r="J18" s="12" t="s">
        <v>166</v>
      </c>
      <c r="K18" s="5" t="s">
        <v>89</v>
      </c>
    </row>
    <row r="19" spans="1:11" x14ac:dyDescent="0.6">
      <c r="A19" s="26" t="s">
        <v>140</v>
      </c>
      <c r="B19" s="5"/>
      <c r="C19" s="5"/>
      <c r="D19" s="5"/>
      <c r="E19" s="5"/>
      <c r="F19" s="5"/>
      <c r="G19" s="5" t="s">
        <v>75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3 (67%)</v>
      </c>
      <c r="J19" s="12" t="s">
        <v>166</v>
      </c>
      <c r="K19" s="5" t="s">
        <v>290</v>
      </c>
    </row>
    <row r="20" spans="1:11" x14ac:dyDescent="0.6">
      <c r="A20" s="26" t="s">
        <v>288</v>
      </c>
      <c r="B20" s="5"/>
      <c r="C20" s="5"/>
      <c r="D20" s="5"/>
      <c r="E20" s="5"/>
      <c r="F20" s="5"/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(100%)</v>
      </c>
      <c r="J20" s="12" t="s">
        <v>166</v>
      </c>
      <c r="K20" s="5" t="s">
        <v>89</v>
      </c>
    </row>
    <row r="21" spans="1:11" x14ac:dyDescent="0.6">
      <c r="A21" s="14" t="s">
        <v>50</v>
      </c>
      <c r="B21" s="3" t="str" cm="1">
        <f t="array" ref="B21">IF(COUNTA(B2:B20)=0,"0 (0%)",SUMPRODUCT(LEN(B2:B20))&amp;" ("&amp;TEXT(SUMPRODUCT(LEN(B2:B20)-LEN(SUBSTITUTE(B2:B20,"W","")))/SUMPRODUCT(LEN(B2:B20)),"0%")&amp;")")</f>
        <v>12 (67%)</v>
      </c>
      <c r="C21" s="3" t="str" cm="1">
        <f t="array" ref="C21">IF(COUNTA(C2:C20)=0,"0 (0%)",SUMPRODUCT(LEN(C2:C20))&amp;" ("&amp;TEXT(SUMPRODUCT(LEN(C2:C20)-LEN(SUBSTITUTE(C2:C20,"W","")))/SUMPRODUCT(LEN(C2:C20)),"0%")&amp;")")</f>
        <v>12 (83%)</v>
      </c>
      <c r="D21" s="3" t="str" cm="1">
        <f t="array" ref="D21">IF(COUNTA(D2:D20)=0,"0 (0%)",SUMPRODUCT(LEN(D2:D20))&amp;" ("&amp;TEXT(SUMPRODUCT(LEN(D2:D20)-LEN(SUBSTITUTE(D2:D20,"W","")))/SUMPRODUCT(LEN(D2:D20)),"0%")&amp;")")</f>
        <v>12 (42%)</v>
      </c>
      <c r="E21" s="7" t="str" cm="1">
        <f t="array" ref="E21">IF(COUNTA(E2:E20)=0,"0 (0%)",SUMPRODUCT(LEN(E2:E20))&amp;" ("&amp;TEXT(SUMPRODUCT(LEN(E2:E20)-LEN(SUBSTITUTE(E2:E20,"W","")))/SUMPRODUCT(LEN(E2:E20)),"0%")&amp;")")</f>
        <v>11 (55%)</v>
      </c>
      <c r="F21" s="3" t="str" cm="1">
        <f t="array" ref="F21">IF(COUNTA(F2:F20)=0,"0 (0%)",SUMPRODUCT(LEN(F2:F20))&amp;" ("&amp;TEXT(SUMPRODUCT(LEN(F2:F20)-LEN(SUBSTITUTE(F2:F20,"W","")))/SUMPRODUCT(LEN(F2:F20)),"0%")&amp;")")</f>
        <v>12 (75%)</v>
      </c>
      <c r="G21" s="3" t="str" cm="1">
        <f t="array" ref="G21">IF(COUNTA(G2:G20)=0,"0 (0%)",SUMPRODUCT(LEN(G2:G20))&amp;" ("&amp;TEXT(SUMPRODUCT(LEN(G2:G20)-LEN(SUBSTITUTE(G2:G20,"W","")))/SUMPRODUCT(LEN(G2:G20)),"0%")&amp;")")</f>
        <v>12 (50%)</v>
      </c>
      <c r="H21" s="3" t="str" cm="1">
        <f t="array" ref="H21">IF(COUNTA(H2:H20)=0,"0 (0%)",SUMPRODUCT(LEN(H2:H20))&amp;" ("&amp;TEXT(SUMPRODUCT(LEN(H2:H20)-LEN(SUBSTITUTE(H2:H20,"W","")))/SUMPRODUCT(LEN(H2:H20)),"0%")&amp;")")</f>
        <v>12 (42%)</v>
      </c>
      <c r="I21" s="1" t="str" cm="1">
        <f t="array" ref="I21">IF(COUNTA(B2:H20)=0,"0 (0%)",SUMPRODUCT(LEN(B2:H20))&amp;" ("&amp;TEXT(SUMPRODUCT(LEN(B2:H20)-LEN(SUBSTITUTE(B2:H20,"W","")))/SUMPRODUCT(LEN(B2:H20)),"0%")&amp;")")</f>
        <v>83 (59%)</v>
      </c>
      <c r="J21" s="1" t="s">
        <v>132</v>
      </c>
      <c r="K21" s="1"/>
    </row>
  </sheetData>
  <sortState xmlns:xlrd2="http://schemas.microsoft.com/office/spreadsheetml/2017/richdata2" ref="A3:K21">
    <sortCondition sortBy="cellColor" ref="I3:I21" dxfId="11"/>
    <sortCondition sortBy="cellColor" ref="I3:I21" dxfId="10"/>
    <sortCondition sortBy="cellColor" ref="I3:I21" dxfId="9"/>
    <sortCondition sortBy="cellColor" ref="I3:I21" dxfId="8"/>
    <sortCondition descending="1" ref="I3:I21"/>
  </sortState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75011-282E-420B-A9CE-9BB86C4D912E}">
  <dimension ref="A1:K23"/>
  <sheetViews>
    <sheetView tabSelected="1" zoomScale="90" zoomScaleNormal="90" workbookViewId="0">
      <selection activeCell="B5" sqref="B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292</v>
      </c>
      <c r="C1" s="13" t="s">
        <v>293</v>
      </c>
      <c r="D1" s="13" t="s">
        <v>294</v>
      </c>
      <c r="E1" s="13" t="s">
        <v>295</v>
      </c>
      <c r="F1" s="13" t="s">
        <v>296</v>
      </c>
      <c r="G1" s="13" t="s">
        <v>297</v>
      </c>
      <c r="H1" s="13" t="s">
        <v>298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291</v>
      </c>
      <c r="K2" s="3" t="s">
        <v>44</v>
      </c>
    </row>
    <row r="3" spans="1:11" x14ac:dyDescent="0.6">
      <c r="A3" s="23" t="s">
        <v>277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47</v>
      </c>
      <c r="G3" s="3" t="s">
        <v>47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186</v>
      </c>
      <c r="K3" s="3"/>
    </row>
    <row r="4" spans="1:11" x14ac:dyDescent="0.6">
      <c r="A4" s="23" t="s">
        <v>279</v>
      </c>
      <c r="B4" s="3" t="s">
        <v>47</v>
      </c>
      <c r="C4" s="3" t="s">
        <v>48</v>
      </c>
      <c r="D4" s="3" t="s">
        <v>47</v>
      </c>
      <c r="E4" s="3" t="s">
        <v>48</v>
      </c>
      <c r="F4" s="3" t="s">
        <v>47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167</v>
      </c>
      <c r="K4" s="3"/>
    </row>
    <row r="5" spans="1:11" x14ac:dyDescent="0.6">
      <c r="A5" s="23" t="s">
        <v>2</v>
      </c>
      <c r="B5" s="3" t="s">
        <v>47</v>
      </c>
      <c r="C5" s="3" t="s">
        <v>47</v>
      </c>
      <c r="D5" s="3" t="s">
        <v>47</v>
      </c>
      <c r="E5" s="3" t="s">
        <v>47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7 (57%)</v>
      </c>
      <c r="J5" s="21" t="s">
        <v>144</v>
      </c>
      <c r="K5" s="3"/>
    </row>
    <row r="6" spans="1:11" x14ac:dyDescent="0.6">
      <c r="A6" s="23" t="s">
        <v>276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48</v>
      </c>
      <c r="G6" s="3" t="s">
        <v>48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7 (43%)</v>
      </c>
      <c r="J6" s="21" t="s">
        <v>183</v>
      </c>
      <c r="K6" s="3"/>
    </row>
    <row r="7" spans="1:11" x14ac:dyDescent="0.6">
      <c r="A7" s="23" t="s">
        <v>187</v>
      </c>
      <c r="B7" s="21" t="s">
        <v>47</v>
      </c>
      <c r="C7" s="21" t="s">
        <v>48</v>
      </c>
      <c r="D7" s="21"/>
      <c r="E7" s="21" t="s">
        <v>47</v>
      </c>
      <c r="F7" s="21" t="s">
        <v>47</v>
      </c>
      <c r="G7" s="21" t="s">
        <v>47</v>
      </c>
      <c r="H7" s="21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6 (83%)</v>
      </c>
      <c r="J7" s="21" t="s">
        <v>182</v>
      </c>
      <c r="K7" s="21"/>
    </row>
    <row r="8" spans="1:11" x14ac:dyDescent="0.6">
      <c r="A8" s="23" t="s">
        <v>287</v>
      </c>
      <c r="B8" s="3"/>
      <c r="C8" s="3" t="s">
        <v>47</v>
      </c>
      <c r="D8" s="3" t="s">
        <v>48</v>
      </c>
      <c r="E8" s="3" t="s">
        <v>47</v>
      </c>
      <c r="F8" s="3"/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189</v>
      </c>
      <c r="K8" s="3"/>
    </row>
    <row r="9" spans="1:11" x14ac:dyDescent="0.6">
      <c r="A9" s="23" t="s">
        <v>12</v>
      </c>
      <c r="B9" s="3" t="s">
        <v>48</v>
      </c>
      <c r="C9" s="3" t="s">
        <v>48</v>
      </c>
      <c r="D9" s="3"/>
      <c r="E9" s="3" t="s">
        <v>48</v>
      </c>
      <c r="F9" s="3"/>
      <c r="G9" s="3" t="s">
        <v>47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168</v>
      </c>
      <c r="K9" s="3"/>
    </row>
    <row r="10" spans="1:11" x14ac:dyDescent="0.6">
      <c r="A10" s="23" t="s">
        <v>121</v>
      </c>
      <c r="B10" s="3" t="s">
        <v>48</v>
      </c>
      <c r="C10" s="3" t="s">
        <v>48</v>
      </c>
      <c r="D10" s="3" t="s">
        <v>48</v>
      </c>
      <c r="E10" s="3" t="s">
        <v>48</v>
      </c>
      <c r="F10" s="3"/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(0%)</v>
      </c>
      <c r="J10" s="21" t="s">
        <v>146</v>
      </c>
      <c r="K10" s="3"/>
    </row>
    <row r="11" spans="1:11" x14ac:dyDescent="0.6">
      <c r="A11" s="24" t="s">
        <v>300</v>
      </c>
      <c r="B11" s="9"/>
      <c r="C11" s="9"/>
      <c r="D11" s="9" t="s">
        <v>48</v>
      </c>
      <c r="E11" s="9" t="s">
        <v>47</v>
      </c>
      <c r="F11" s="9"/>
      <c r="G11" s="9"/>
      <c r="H11" s="9" t="s">
        <v>47</v>
      </c>
      <c r="I11" s="19" t="str" cm="1">
        <f t="array" ref="I11">IF(COUNTA(B11:H11)=0,"0 (0%)",SUMPRODUCT(LEN(B11:H11))&amp;" ("&amp;TEXT(SUMPRODUCT(LEN(B11:H11)-LEN(SUBSTITUTE(B11:H11,"W","")))/SUMPRODUCT(LEN(B11:H11)),"0%")&amp;")")</f>
        <v>3 (67%)</v>
      </c>
      <c r="J11" s="22" t="s">
        <v>166</v>
      </c>
      <c r="K11" s="9" t="s">
        <v>29</v>
      </c>
    </row>
    <row r="12" spans="1:11" x14ac:dyDescent="0.6">
      <c r="A12" s="25" t="s">
        <v>55</v>
      </c>
      <c r="B12" s="7" t="s">
        <v>48</v>
      </c>
      <c r="C12" s="7"/>
      <c r="D12" s="7"/>
      <c r="E12" s="7" t="s">
        <v>48</v>
      </c>
      <c r="F12" s="7"/>
      <c r="G12" s="7" t="s">
        <v>47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149</v>
      </c>
      <c r="K12" s="7"/>
    </row>
    <row r="13" spans="1:11" x14ac:dyDescent="0.6">
      <c r="A13" s="25" t="s">
        <v>7</v>
      </c>
      <c r="B13" s="7"/>
      <c r="C13" s="7"/>
      <c r="D13" s="7" t="s">
        <v>47</v>
      </c>
      <c r="E13" s="7"/>
      <c r="F13" s="7" t="s">
        <v>47</v>
      </c>
      <c r="G13" s="7"/>
      <c r="H13" s="7" t="s">
        <v>47</v>
      </c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152</v>
      </c>
      <c r="K13" s="10" t="s">
        <v>69</v>
      </c>
    </row>
    <row r="14" spans="1:11" x14ac:dyDescent="0.6">
      <c r="A14" s="25" t="s">
        <v>33</v>
      </c>
      <c r="B14" s="7"/>
      <c r="C14" s="7"/>
      <c r="D14" s="7"/>
      <c r="E14" s="7"/>
      <c r="F14" s="7" t="s">
        <v>48</v>
      </c>
      <c r="G14" s="7" t="s">
        <v>47</v>
      </c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150</v>
      </c>
      <c r="K14" s="7" t="s">
        <v>41</v>
      </c>
    </row>
    <row r="15" spans="1:11" x14ac:dyDescent="0.6">
      <c r="A15" s="25" t="s">
        <v>265</v>
      </c>
      <c r="B15" s="7" t="s">
        <v>48</v>
      </c>
      <c r="C15" s="7"/>
      <c r="D15" s="7" t="s">
        <v>47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2 (50%)</v>
      </c>
      <c r="J15" s="16" t="s">
        <v>162</v>
      </c>
      <c r="K15" s="7" t="s">
        <v>21</v>
      </c>
    </row>
    <row r="16" spans="1:11" x14ac:dyDescent="0.6">
      <c r="A16" s="25" t="s">
        <v>299</v>
      </c>
      <c r="B16" s="7"/>
      <c r="C16" s="7" t="s">
        <v>48</v>
      </c>
      <c r="D16" s="7"/>
      <c r="E16" s="7"/>
      <c r="F16" s="7" t="s">
        <v>47</v>
      </c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2 (50%)</v>
      </c>
      <c r="J16" s="16" t="s">
        <v>166</v>
      </c>
      <c r="K16" s="7" t="s">
        <v>21</v>
      </c>
    </row>
    <row r="17" spans="1:11" x14ac:dyDescent="0.6">
      <c r="A17" s="25" t="s">
        <v>18</v>
      </c>
      <c r="B17" s="7"/>
      <c r="C17" s="7"/>
      <c r="D17" s="7"/>
      <c r="E17" s="7"/>
      <c r="F17" s="7"/>
      <c r="G17" s="7"/>
      <c r="H17" s="7"/>
      <c r="I17" s="18" t="str" cm="1">
        <f t="array" ref="I17">IF(COUNTA(B17:H17)=0,"0 (0%)",SUMPRODUCT(LEN(B17:H17))&amp;" ("&amp;TEXT(SUMPRODUCT(LEN(B17:H17)-LEN(SUBSTITUTE(B17:H17,"W","")))/SUMPRODUCT(LEN(B17:H17)),"0%")&amp;")")</f>
        <v>0 (0%)</v>
      </c>
      <c r="J17" s="16" t="s">
        <v>166</v>
      </c>
      <c r="K17" s="7" t="s">
        <v>104</v>
      </c>
    </row>
    <row r="18" spans="1:11" x14ac:dyDescent="0.6">
      <c r="A18" s="25" t="s">
        <v>9</v>
      </c>
      <c r="B18" s="7"/>
      <c r="C18" s="7"/>
      <c r="D18" s="7"/>
      <c r="E18" s="7"/>
      <c r="F18" s="7"/>
      <c r="G18" s="7"/>
      <c r="H18" s="7"/>
      <c r="I18" s="18" t="str" cm="1">
        <f t="array" ref="I18">IF(COUNTA(B18:H18)=0,"0 (0%)",SUMPRODUCT(LEN(B18:H18))&amp;" ("&amp;TEXT(SUMPRODUCT(LEN(B18:H18)-LEN(SUBSTITUTE(B18:H18,"W","")))/SUMPRODUCT(LEN(B18:H18)),"0%")&amp;")")</f>
        <v>0 (0%)</v>
      </c>
      <c r="J18" s="16" t="s">
        <v>167</v>
      </c>
      <c r="K18" s="7" t="s">
        <v>21</v>
      </c>
    </row>
    <row r="19" spans="1:11" x14ac:dyDescent="0.6">
      <c r="A19" s="26" t="s">
        <v>221</v>
      </c>
      <c r="B19" s="12" t="s">
        <v>48</v>
      </c>
      <c r="C19" s="12" t="s">
        <v>47</v>
      </c>
      <c r="D19" s="12" t="s">
        <v>48</v>
      </c>
      <c r="E19" s="12" t="s">
        <v>47</v>
      </c>
      <c r="F19" s="12" t="s">
        <v>47</v>
      </c>
      <c r="G19" s="12" t="s">
        <v>47</v>
      </c>
      <c r="H19" s="12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144</v>
      </c>
      <c r="K19" s="12" t="s">
        <v>125</v>
      </c>
    </row>
    <row r="20" spans="1:11" x14ac:dyDescent="0.6">
      <c r="A20" s="26" t="s">
        <v>140</v>
      </c>
      <c r="B20" s="5" t="s">
        <v>47</v>
      </c>
      <c r="C20" s="5" t="s">
        <v>47</v>
      </c>
      <c r="D20" s="5" t="s">
        <v>47</v>
      </c>
      <c r="E20" s="5"/>
      <c r="F20" s="5" t="s">
        <v>47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5 (100%)</v>
      </c>
      <c r="J20" s="12" t="s">
        <v>150</v>
      </c>
      <c r="K20" s="5" t="s">
        <v>290</v>
      </c>
    </row>
    <row r="21" spans="1:11" x14ac:dyDescent="0.6">
      <c r="A21" s="26" t="s">
        <v>278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182</v>
      </c>
      <c r="K21" s="5" t="s">
        <v>89</v>
      </c>
    </row>
    <row r="22" spans="1:11" x14ac:dyDescent="0.6">
      <c r="A22" s="26" t="s">
        <v>288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(42%)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(67%)</v>
      </c>
      <c r="E23" s="3" t="str" cm="1">
        <f t="array" ref="E23">IF(COUNTA(E2:E22)=0,"0 (0%)",SUMPRODUCT(LEN(E2:E22))&amp;" ("&amp;TEXT(SUMPRODUCT(LEN(E2:E22)-LEN(SUBSTITUTE(E2:E22,"W","")))/SUMPRODUCT(LEN(E2:E22)),"0%")&amp;")")</f>
        <v>12 (58%)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(58%)</v>
      </c>
      <c r="H23" s="3" t="str" cm="1">
        <f t="array" ref="H23">IF(COUNTA(H2:H22)=0,"0 (0%)",SUMPRODUCT(LEN(H2:H22))&amp;" ("&amp;TEXT(SUMPRODUCT(LEN(H2:H22)-LEN(SUBSTITUTE(H2:H22,"W","")))/SUMPRODUCT(LEN(H2:H22)),"0%")&amp;")")</f>
        <v>12 (33%)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91"/>
    <sortCondition sortBy="cellColor" ref="I2:I22" dxfId="90"/>
    <sortCondition sortBy="cellColor" ref="I2:I22" dxfId="89"/>
    <sortCondition sortBy="cellColor" ref="I2:I22" dxfId="88"/>
    <sortCondition descending="1" ref="I2:I22"/>
  </sortState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5A5B1-F09B-42CA-9FF0-F003FB9D3FD5}">
  <dimension ref="A1:K18"/>
  <sheetViews>
    <sheetView zoomScale="90" zoomScaleNormal="90" workbookViewId="0">
      <selection activeCell="F21" sqref="F21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301</v>
      </c>
      <c r="C1" s="13" t="s">
        <v>302</v>
      </c>
      <c r="D1" s="13" t="s">
        <v>303</v>
      </c>
      <c r="E1" s="13" t="s">
        <v>304</v>
      </c>
      <c r="F1" s="13" t="s">
        <v>305</v>
      </c>
      <c r="G1" s="13" t="s">
        <v>306</v>
      </c>
      <c r="H1" s="13" t="s">
        <v>307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75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186</v>
      </c>
      <c r="K2" s="3"/>
    </row>
    <row r="3" spans="1:11" x14ac:dyDescent="0.6">
      <c r="A3" s="23" t="s">
        <v>277</v>
      </c>
      <c r="B3" s="3" t="s">
        <v>47</v>
      </c>
      <c r="C3" s="3" t="s">
        <v>48</v>
      </c>
      <c r="D3" s="3" t="s">
        <v>47</v>
      </c>
      <c r="E3" s="3" t="s">
        <v>47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144</v>
      </c>
      <c r="K3" s="3"/>
    </row>
    <row r="4" spans="1:11" x14ac:dyDescent="0.6">
      <c r="A4" s="23" t="s">
        <v>222</v>
      </c>
      <c r="B4" s="3" t="s">
        <v>47</v>
      </c>
      <c r="C4" s="3" t="s">
        <v>48</v>
      </c>
      <c r="D4" s="3" t="s">
        <v>48</v>
      </c>
      <c r="E4" s="3" t="s">
        <v>48</v>
      </c>
      <c r="F4" s="3" t="s">
        <v>47</v>
      </c>
      <c r="G4" s="3" t="s">
        <v>47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161</v>
      </c>
      <c r="K4" s="3" t="s">
        <v>44</v>
      </c>
    </row>
    <row r="5" spans="1:11" x14ac:dyDescent="0.6">
      <c r="A5" s="23" t="s">
        <v>276</v>
      </c>
      <c r="B5" s="3"/>
      <c r="C5" s="3" t="s">
        <v>47</v>
      </c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186</v>
      </c>
      <c r="K5" s="3"/>
    </row>
    <row r="6" spans="1:11" x14ac:dyDescent="0.6">
      <c r="A6" s="23" t="s">
        <v>300</v>
      </c>
      <c r="B6" s="3" t="s">
        <v>48</v>
      </c>
      <c r="C6" s="3" t="s">
        <v>47</v>
      </c>
      <c r="D6" s="3" t="s">
        <v>48</v>
      </c>
      <c r="E6" s="3" t="s">
        <v>47</v>
      </c>
      <c r="F6" s="3" t="s">
        <v>47</v>
      </c>
      <c r="G6" s="3"/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6 (67%)</v>
      </c>
      <c r="J6" s="21" t="s">
        <v>150</v>
      </c>
      <c r="K6" s="3"/>
    </row>
    <row r="7" spans="1:11" x14ac:dyDescent="0.6">
      <c r="A7" s="23" t="s">
        <v>287</v>
      </c>
      <c r="B7" s="3" t="s">
        <v>47</v>
      </c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6 (50%)</v>
      </c>
      <c r="J7" s="21" t="s">
        <v>146</v>
      </c>
      <c r="K7" s="3"/>
    </row>
    <row r="8" spans="1:11" x14ac:dyDescent="0.6">
      <c r="A8" s="23" t="s">
        <v>279</v>
      </c>
      <c r="B8" s="3" t="s">
        <v>48</v>
      </c>
      <c r="C8" s="3" t="s">
        <v>47</v>
      </c>
      <c r="D8" s="3" t="s">
        <v>48</v>
      </c>
      <c r="E8" s="3" t="s">
        <v>48</v>
      </c>
      <c r="F8" s="3"/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6 (17%)</v>
      </c>
      <c r="J8" s="21" t="s">
        <v>186</v>
      </c>
      <c r="K8" s="3"/>
    </row>
    <row r="9" spans="1:11" x14ac:dyDescent="0.6">
      <c r="A9" s="23" t="s">
        <v>33</v>
      </c>
      <c r="B9" s="3" t="s">
        <v>47</v>
      </c>
      <c r="C9" s="3"/>
      <c r="D9" s="3" t="s">
        <v>47</v>
      </c>
      <c r="E9" s="3" t="s">
        <v>47</v>
      </c>
      <c r="F9" s="3" t="s">
        <v>47</v>
      </c>
      <c r="G9" s="3" t="s">
        <v>47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6 (100%)</v>
      </c>
      <c r="J9" s="21" t="s">
        <v>155</v>
      </c>
      <c r="K9" s="3" t="s">
        <v>41</v>
      </c>
    </row>
    <row r="10" spans="1:11" x14ac:dyDescent="0.6">
      <c r="A10" s="24" t="s">
        <v>7</v>
      </c>
      <c r="B10" s="9"/>
      <c r="C10" s="9" t="s">
        <v>47</v>
      </c>
      <c r="D10" s="9"/>
      <c r="E10" s="9" t="s">
        <v>48</v>
      </c>
      <c r="F10" s="9"/>
      <c r="G10" s="9" t="s">
        <v>47</v>
      </c>
      <c r="H10" s="9"/>
      <c r="I10" s="19" t="str" cm="1">
        <f t="array" ref="I10">IF(COUNTA(B10:H10)=0,"0 (0%)",SUMPRODUCT(LEN(B10:H10))&amp;" ("&amp;TEXT(SUMPRODUCT(LEN(B10:H10)-LEN(SUBSTITUTE(B10:H10,"W","")))/SUMPRODUCT(LEN(B10:H10)),"0%")&amp;")")</f>
        <v>3 (67%)</v>
      </c>
      <c r="J10" s="22" t="s">
        <v>167</v>
      </c>
      <c r="K10" s="27" t="s">
        <v>308</v>
      </c>
    </row>
    <row r="11" spans="1:11" x14ac:dyDescent="0.6">
      <c r="A11" s="25" t="s">
        <v>121</v>
      </c>
      <c r="B11" s="7" t="s">
        <v>48</v>
      </c>
      <c r="C11" s="7"/>
      <c r="D11" s="7" t="s">
        <v>47</v>
      </c>
      <c r="E11" s="7"/>
      <c r="F11" s="7" t="s">
        <v>47</v>
      </c>
      <c r="G11" s="7" t="s">
        <v>48</v>
      </c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5 (60%)</v>
      </c>
      <c r="J11" s="16" t="s">
        <v>181</v>
      </c>
      <c r="K11" s="7"/>
    </row>
    <row r="12" spans="1:11" x14ac:dyDescent="0.6">
      <c r="A12" s="25" t="s">
        <v>12</v>
      </c>
      <c r="B12" s="7" t="s">
        <v>47</v>
      </c>
      <c r="C12" s="7"/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147</v>
      </c>
      <c r="K12" s="7"/>
    </row>
    <row r="13" spans="1:11" x14ac:dyDescent="0.6">
      <c r="A13" s="25" t="s">
        <v>55</v>
      </c>
      <c r="B13" s="7"/>
      <c r="C13" s="7" t="s">
        <v>47</v>
      </c>
      <c r="D13" s="7" t="s">
        <v>48</v>
      </c>
      <c r="E13" s="7" t="s">
        <v>48</v>
      </c>
      <c r="F13" s="7"/>
      <c r="G13" s="7"/>
      <c r="H13" s="7" t="s">
        <v>47</v>
      </c>
      <c r="I13" s="18" t="str" cm="1">
        <f t="array" ref="I13">IF(COUNTA(B13:H13)=0,"0 (0%)",SUMPRODUCT(LEN(B13:H13))&amp;" ("&amp;TEXT(SUMPRODUCT(LEN(B13:H13)-LEN(SUBSTITUTE(B13:H13,"W","")))/SUMPRODUCT(LEN(B13:H13)),"0%")&amp;")")</f>
        <v>4 (50%)</v>
      </c>
      <c r="J13" s="16" t="s">
        <v>148</v>
      </c>
      <c r="K13" s="7"/>
    </row>
    <row r="14" spans="1:11" x14ac:dyDescent="0.6">
      <c r="A14" s="25" t="s">
        <v>187</v>
      </c>
      <c r="B14" s="16" t="s">
        <v>47</v>
      </c>
      <c r="C14" s="16" t="s">
        <v>48</v>
      </c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145</v>
      </c>
      <c r="K14" s="16"/>
    </row>
    <row r="15" spans="1:11" x14ac:dyDescent="0.6">
      <c r="A15" s="25" t="s">
        <v>18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166</v>
      </c>
      <c r="K15" s="7" t="s">
        <v>21</v>
      </c>
    </row>
    <row r="16" spans="1:11" x14ac:dyDescent="0.6">
      <c r="A16" s="26" t="s">
        <v>221</v>
      </c>
      <c r="B16" s="12" t="s">
        <v>47</v>
      </c>
      <c r="C16" s="12" t="s">
        <v>49</v>
      </c>
      <c r="D16" s="12" t="s">
        <v>48</v>
      </c>
      <c r="E16" s="12" t="s">
        <v>47</v>
      </c>
      <c r="F16" s="12" t="s">
        <v>75</v>
      </c>
      <c r="G16" s="12" t="s">
        <v>47</v>
      </c>
      <c r="H16" s="12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9 (44%)</v>
      </c>
      <c r="J16" s="12" t="s">
        <v>219</v>
      </c>
      <c r="K16" s="12" t="s">
        <v>125</v>
      </c>
    </row>
    <row r="17" spans="1:11" x14ac:dyDescent="0.6">
      <c r="A17" s="26" t="s">
        <v>140</v>
      </c>
      <c r="B17" s="5" t="s">
        <v>48</v>
      </c>
      <c r="C17" s="5" t="s">
        <v>47</v>
      </c>
      <c r="D17" s="5" t="s">
        <v>48</v>
      </c>
      <c r="E17" s="5"/>
      <c r="F17" s="5" t="s">
        <v>47</v>
      </c>
      <c r="G17" s="5" t="s">
        <v>48</v>
      </c>
      <c r="H17" s="5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6 (33%)</v>
      </c>
      <c r="J17" s="12" t="s">
        <v>247</v>
      </c>
      <c r="K17" s="5" t="s">
        <v>290</v>
      </c>
    </row>
    <row r="18" spans="1:11" x14ac:dyDescent="0.6">
      <c r="A18" s="14" t="s">
        <v>50</v>
      </c>
      <c r="B18" s="3" t="str" cm="1">
        <f t="array" ref="B18">IF(COUNTA(B2:B17)=0,"0 (0%)",SUMPRODUCT(LEN(B2:B17))&amp;" ("&amp;TEXT(SUMPRODUCT(LEN(B2:B17)-LEN(SUBSTITUTE(B2:B17,"W","")))/SUMPRODUCT(LEN(B2:B17)),"0%")&amp;")")</f>
        <v>12 (67%)</v>
      </c>
      <c r="C18" s="3" t="str" cm="1">
        <f t="array" ref="C18">IF(COUNTA(C2:C17)=0,"0 (0%)",SUMPRODUCT(LEN(C2:C17))&amp;" ("&amp;TEXT(SUMPRODUCT(LEN(C2:C17)-LEN(SUBSTITUTE(C2:C17,"W","")))/SUMPRODUCT(LEN(C2:C17)),"0%")&amp;")")</f>
        <v>12 (58%)</v>
      </c>
      <c r="D18" s="3" t="str" cm="1">
        <f t="array" ref="D18">IF(COUNTA(D2:D17)=0,"0 (0%)",SUMPRODUCT(LEN(D2:D17))&amp;" ("&amp;TEXT(SUMPRODUCT(LEN(D2:D17)-LEN(SUBSTITUTE(D2:D17,"W","")))/SUMPRODUCT(LEN(D2:D17)),"0%")&amp;")")</f>
        <v>12 (33%)</v>
      </c>
      <c r="E18" s="3" t="str" cm="1">
        <f t="array" ref="E18">IF(COUNTA(E2:E17)=0,"0 (0%)",SUMPRODUCT(LEN(E2:E17))&amp;" ("&amp;TEXT(SUMPRODUCT(LEN(E2:E17)-LEN(SUBSTITUTE(E2:E17,"W","")))/SUMPRODUCT(LEN(E2:E17)),"0%")&amp;")")</f>
        <v>12 (50%)</v>
      </c>
      <c r="F18" s="3" t="str" cm="1">
        <f t="array" ref="F18">IF(COUNTA(F2:F17)=0,"0 (0%)",SUMPRODUCT(LEN(F2:F17))&amp;" ("&amp;TEXT(SUMPRODUCT(LEN(F2:F17)-LEN(SUBSTITUTE(F2:F17,"W","")))/SUMPRODUCT(LEN(F2:F17)),"0%")&amp;")")</f>
        <v>12 (75%)</v>
      </c>
      <c r="G18" s="3" t="str" cm="1">
        <f t="array" ref="G18">IF(COUNTA(G2:G17)=0,"0 (0%)",SUMPRODUCT(LEN(G2:G17))&amp;" ("&amp;TEXT(SUMPRODUCT(LEN(G2:G17)-LEN(SUBSTITUTE(G2:G17,"W","")))/SUMPRODUCT(LEN(G2:G17)),"0%")&amp;")")</f>
        <v>12 (42%)</v>
      </c>
      <c r="H18" s="3" t="str" cm="1">
        <f t="array" ref="H18">IF(COUNTA(H2:H17)=0,"0 (0%)",SUMPRODUCT(LEN(H2:H17))&amp;" ("&amp;TEXT(SUMPRODUCT(LEN(H2:H17)-LEN(SUBSTITUTE(H2:H17,"W","")))/SUMPRODUCT(LEN(H2:H17)),"0%")&amp;")")</f>
        <v>12 (42%)</v>
      </c>
      <c r="I18" s="1" t="str" cm="1">
        <f t="array" ref="I18">IF(COUNTA(B2:H17)=0,"0 (0%)",SUMPRODUCT(LEN(B2:H17))&amp;" ("&amp;TEXT(SUMPRODUCT(LEN(B2:H17)-LEN(SUBSTITUTE(B2:H17,"W","")))/SUMPRODUCT(LEN(B2:H17)),"0%")&amp;")")</f>
        <v>84 (52%)</v>
      </c>
      <c r="J18" s="1" t="s">
        <v>132</v>
      </c>
      <c r="K18" s="1"/>
    </row>
  </sheetData>
  <sortState xmlns:xlrd2="http://schemas.microsoft.com/office/spreadsheetml/2017/richdata2" ref="A2:K17">
    <sortCondition sortBy="cellColor" ref="I2:I17" dxfId="7"/>
    <sortCondition sortBy="cellColor" ref="I2:I17" dxfId="6"/>
    <sortCondition sortBy="cellColor" ref="I2:I17" dxfId="5"/>
    <sortCondition sortBy="cellColor" ref="I2:I17" dxfId="4"/>
    <sortCondition descending="1" ref="I2:I17"/>
  </sortState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A17C6-27E7-40A5-985D-664E5A3F58D7}">
  <dimension ref="A1:K20"/>
  <sheetViews>
    <sheetView zoomScale="90" zoomScaleNormal="90" workbookViewId="0">
      <selection sqref="A1:K2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309</v>
      </c>
      <c r="C1" s="13" t="s">
        <v>310</v>
      </c>
      <c r="D1" s="13" t="s">
        <v>311</v>
      </c>
      <c r="E1" s="13" t="s">
        <v>312</v>
      </c>
      <c r="F1" s="13" t="s">
        <v>313</v>
      </c>
      <c r="G1" s="13" t="s">
        <v>314</v>
      </c>
      <c r="H1" s="13" t="s">
        <v>315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</v>
      </c>
      <c r="B2" s="3" t="s">
        <v>47</v>
      </c>
      <c r="C2" s="3" t="s">
        <v>48</v>
      </c>
      <c r="D2" s="3" t="s">
        <v>47</v>
      </c>
      <c r="E2" s="3" t="s">
        <v>75</v>
      </c>
      <c r="F2" s="3" t="s">
        <v>48</v>
      </c>
      <c r="G2" s="3" t="s">
        <v>48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9 (33%)</v>
      </c>
      <c r="J2" s="21" t="s">
        <v>161</v>
      </c>
      <c r="K2" s="3"/>
    </row>
    <row r="3" spans="1:11" x14ac:dyDescent="0.6">
      <c r="A3" s="23" t="s">
        <v>277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144</v>
      </c>
      <c r="K3" s="3"/>
    </row>
    <row r="4" spans="1:11" x14ac:dyDescent="0.6">
      <c r="A4" s="23" t="s">
        <v>222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(71%)</v>
      </c>
      <c r="J4" s="21" t="s">
        <v>186</v>
      </c>
      <c r="K4" s="3" t="s">
        <v>44</v>
      </c>
    </row>
    <row r="5" spans="1:11" x14ac:dyDescent="0.6">
      <c r="A5" s="23" t="s">
        <v>287</v>
      </c>
      <c r="B5" s="3"/>
      <c r="C5" s="3" t="s">
        <v>47</v>
      </c>
      <c r="D5" s="3" t="s">
        <v>47</v>
      </c>
      <c r="E5" s="3" t="s">
        <v>47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 t="s">
        <v>162</v>
      </c>
      <c r="K5" s="3"/>
    </row>
    <row r="6" spans="1:11" x14ac:dyDescent="0.6">
      <c r="A6" s="23" t="s">
        <v>319</v>
      </c>
      <c r="B6" s="3"/>
      <c r="C6" s="3"/>
      <c r="D6" s="3" t="s">
        <v>47</v>
      </c>
      <c r="E6" s="3" t="s">
        <v>47</v>
      </c>
      <c r="F6" s="3" t="s">
        <v>48</v>
      </c>
      <c r="G6" s="3" t="s">
        <v>48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166</v>
      </c>
      <c r="K6" s="3"/>
    </row>
    <row r="7" spans="1:11" x14ac:dyDescent="0.6">
      <c r="A7" s="23" t="s">
        <v>300</v>
      </c>
      <c r="B7" s="3" t="s">
        <v>48</v>
      </c>
      <c r="C7" s="3"/>
      <c r="D7" s="3" t="s">
        <v>48</v>
      </c>
      <c r="E7" s="3" t="s">
        <v>47</v>
      </c>
      <c r="F7" s="3" t="s">
        <v>48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154</v>
      </c>
      <c r="K7" s="3"/>
    </row>
    <row r="8" spans="1:11" x14ac:dyDescent="0.6">
      <c r="A8" s="23" t="s">
        <v>121</v>
      </c>
      <c r="B8" s="3" t="s">
        <v>48</v>
      </c>
      <c r="C8" s="3" t="s">
        <v>48</v>
      </c>
      <c r="D8" s="3"/>
      <c r="E8" s="3"/>
      <c r="F8" s="3" t="s">
        <v>48</v>
      </c>
      <c r="G8" s="3" t="s">
        <v>47</v>
      </c>
      <c r="H8" s="3" t="s">
        <v>47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164</v>
      </c>
      <c r="K8" s="3"/>
    </row>
    <row r="9" spans="1:11" x14ac:dyDescent="0.6">
      <c r="A9" s="23" t="s">
        <v>276</v>
      </c>
      <c r="B9" s="3" t="s">
        <v>47</v>
      </c>
      <c r="C9" s="3"/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/>
    </row>
    <row r="10" spans="1:11" x14ac:dyDescent="0.6">
      <c r="A10" s="24" t="s">
        <v>7</v>
      </c>
      <c r="B10" s="9" t="s">
        <v>47</v>
      </c>
      <c r="C10" s="9"/>
      <c r="D10" s="9" t="s">
        <v>47</v>
      </c>
      <c r="E10" s="9"/>
      <c r="F10" s="9" t="s">
        <v>47</v>
      </c>
      <c r="G10" s="9"/>
      <c r="H10" s="9" t="s">
        <v>47</v>
      </c>
      <c r="I10" s="19" t="str" cm="1">
        <f t="array" ref="I10">IF(COUNTA(B10:H10)=0,"0 (0%)",SUMPRODUCT(LEN(B10:H10))&amp;" ("&amp;TEXT(SUMPRODUCT(LEN(B10:H10)-LEN(SUBSTITUTE(B10:H10,"W","")))/SUMPRODUCT(LEN(B10:H10)),"0%")&amp;")")</f>
        <v>4 (100%)</v>
      </c>
      <c r="J10" s="22" t="s">
        <v>150</v>
      </c>
      <c r="K10" s="27" t="s">
        <v>308</v>
      </c>
    </row>
    <row r="11" spans="1:11" x14ac:dyDescent="0.6">
      <c r="A11" s="25" t="s">
        <v>279</v>
      </c>
      <c r="B11" s="7" t="s">
        <v>48</v>
      </c>
      <c r="C11" s="7" t="s">
        <v>75</v>
      </c>
      <c r="D11" s="7"/>
      <c r="E11" s="7"/>
      <c r="F11" s="7"/>
      <c r="G11" s="7" t="s">
        <v>47</v>
      </c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316</v>
      </c>
      <c r="K11" s="7"/>
    </row>
    <row r="12" spans="1:11" x14ac:dyDescent="0.6">
      <c r="A12" s="25" t="s">
        <v>12</v>
      </c>
      <c r="B12" s="7" t="s">
        <v>47</v>
      </c>
      <c r="C12" s="7" t="s">
        <v>48</v>
      </c>
      <c r="D12" s="7"/>
      <c r="E12" s="7"/>
      <c r="F12" s="7"/>
      <c r="G12" s="7" t="s">
        <v>47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148</v>
      </c>
      <c r="K12" s="7"/>
    </row>
    <row r="13" spans="1:11" x14ac:dyDescent="0.6">
      <c r="A13" s="25" t="s">
        <v>55</v>
      </c>
      <c r="B13" s="7"/>
      <c r="C13" s="7" t="s">
        <v>48</v>
      </c>
      <c r="D13" s="7" t="s">
        <v>47</v>
      </c>
      <c r="E13" s="7"/>
      <c r="F13" s="7" t="s">
        <v>47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(67%)</v>
      </c>
      <c r="J13" s="16" t="s">
        <v>149</v>
      </c>
      <c r="K13" s="7"/>
    </row>
    <row r="14" spans="1:11" x14ac:dyDescent="0.6">
      <c r="A14" s="25" t="s">
        <v>33</v>
      </c>
      <c r="B14" s="7" t="s">
        <v>47</v>
      </c>
      <c r="C14" s="7"/>
      <c r="D14" s="7"/>
      <c r="E14" s="7" t="s">
        <v>48</v>
      </c>
      <c r="F14" s="7"/>
      <c r="G14" s="7" t="s">
        <v>48</v>
      </c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3 (33%)</v>
      </c>
      <c r="J14" s="16" t="s">
        <v>317</v>
      </c>
      <c r="K14" s="7" t="s">
        <v>41</v>
      </c>
    </row>
    <row r="15" spans="1:11" x14ac:dyDescent="0.6">
      <c r="A15" s="25" t="s">
        <v>187</v>
      </c>
      <c r="B15" s="16"/>
      <c r="C15" s="16" t="s">
        <v>48</v>
      </c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155</v>
      </c>
      <c r="K15" s="16"/>
    </row>
    <row r="16" spans="1:11" x14ac:dyDescent="0.6">
      <c r="A16" s="26" t="s">
        <v>221</v>
      </c>
      <c r="B16" s="12" t="s">
        <v>47</v>
      </c>
      <c r="C16" s="12" t="s">
        <v>67</v>
      </c>
      <c r="D16" s="12" t="s">
        <v>67</v>
      </c>
      <c r="E16" s="12" t="s">
        <v>75</v>
      </c>
      <c r="F16" s="12" t="s">
        <v>47</v>
      </c>
      <c r="G16" s="12" t="s">
        <v>47</v>
      </c>
      <c r="H16" s="12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10 (80%)</v>
      </c>
      <c r="J16" s="12" t="s">
        <v>318</v>
      </c>
      <c r="K16" s="12" t="s">
        <v>125</v>
      </c>
    </row>
    <row r="17" spans="1:11" x14ac:dyDescent="0.6">
      <c r="A17" s="26" t="s">
        <v>140</v>
      </c>
      <c r="B17" s="5" t="s">
        <v>48</v>
      </c>
      <c r="C17" s="5"/>
      <c r="D17" s="5" t="s">
        <v>47</v>
      </c>
      <c r="E17" s="5" t="s">
        <v>48</v>
      </c>
      <c r="F17" s="5" t="s">
        <v>47</v>
      </c>
      <c r="G17" s="5" t="s">
        <v>48</v>
      </c>
      <c r="H17" s="5"/>
      <c r="I17" s="20" t="str" cm="1">
        <f t="array" ref="I17">IF(COUNTA(B17:H17)=0,"0 (0%)",SUMPRODUCT(LEN(B17:H17))&amp;" ("&amp;TEXT(SUMPRODUCT(LEN(B17:H17)-LEN(SUBSTITUTE(B17:H17,"W","")))/SUMPRODUCT(LEN(B17:H17)),"0%")&amp;")")</f>
        <v>5 (40%)</v>
      </c>
      <c r="J17" s="12" t="s">
        <v>189</v>
      </c>
      <c r="K17" s="5" t="s">
        <v>290</v>
      </c>
    </row>
    <row r="18" spans="1:11" x14ac:dyDescent="0.6">
      <c r="A18" s="26" t="s">
        <v>288</v>
      </c>
      <c r="B18" s="12"/>
      <c r="C18" s="12"/>
      <c r="D18" s="12" t="s">
        <v>47</v>
      </c>
      <c r="E18" s="12"/>
      <c r="F18" s="12"/>
      <c r="G18" s="12"/>
      <c r="H18" s="12"/>
      <c r="I18" s="20" t="str" cm="1">
        <f t="array" ref="I18">IF(COUNTA(B18:H18)=0,"0 (0%)",SUMPRODUCT(LEN(B18:H18))&amp;" ("&amp;TEXT(SUMPRODUCT(LEN(B18:H18)-LEN(SUBSTITUTE(B18:H18,"W","")))/SUMPRODUCT(LEN(B18:H18)),"0%")&amp;")")</f>
        <v>1 (100%)</v>
      </c>
      <c r="J18" s="12" t="s">
        <v>289</v>
      </c>
      <c r="K18" s="12" t="s">
        <v>89</v>
      </c>
    </row>
    <row r="19" spans="1:11" x14ac:dyDescent="0.6">
      <c r="A19" s="26" t="s">
        <v>278</v>
      </c>
      <c r="B19" s="12"/>
      <c r="C19" s="12"/>
      <c r="D19" s="12"/>
      <c r="E19" s="12"/>
      <c r="F19" s="12"/>
      <c r="G19" s="12"/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1 (0%)</v>
      </c>
      <c r="J19" s="12" t="s">
        <v>289</v>
      </c>
      <c r="K19" s="12" t="s">
        <v>89</v>
      </c>
    </row>
    <row r="20" spans="1:11" x14ac:dyDescent="0.6">
      <c r="A20" s="14" t="s">
        <v>50</v>
      </c>
      <c r="B20" s="3" t="str" cm="1">
        <f t="array" ref="B20">IF(COUNTA(B2:B19)=0,"0 (0%)",SUMPRODUCT(LEN(B2:B19))&amp;" ("&amp;TEXT(SUMPRODUCT(LEN(B2:B19)-LEN(SUBSTITUTE(B2:B19,"W","")))/SUMPRODUCT(LEN(B2:B19)),"0%")&amp;")")</f>
        <v>12 (58%)</v>
      </c>
      <c r="C20" s="3" t="str" cm="1">
        <f t="array" ref="C20">IF(COUNTA(C2:C19)=0,"0 (0%)",SUMPRODUCT(LEN(C2:C19))&amp;" ("&amp;TEXT(SUMPRODUCT(LEN(C2:C19)-LEN(SUBSTITUTE(C2:C19,"W","")))/SUMPRODUCT(LEN(C2:C19)),"0%")&amp;")")</f>
        <v>12 (42%)</v>
      </c>
      <c r="D20" s="3" t="str" cm="1">
        <f t="array" ref="D20">IF(COUNTA(D2:D19)=0,"0 (0%)",SUMPRODUCT(LEN(D2:D19))&amp;" ("&amp;TEXT(SUMPRODUCT(LEN(D2:D19)-LEN(SUBSTITUTE(D2:D19,"W","")))/SUMPRODUCT(LEN(D2:D19)),"0%")&amp;")")</f>
        <v>12 (92%)</v>
      </c>
      <c r="E20" s="3" t="str" cm="1">
        <f t="array" ref="E20">IF(COUNTA(E2:E19)=0,"0 (0%)",SUMPRODUCT(LEN(E2:E19))&amp;" ("&amp;TEXT(SUMPRODUCT(LEN(E2:E19)-LEN(SUBSTITUTE(E2:E19,"W","")))/SUMPRODUCT(LEN(E2:E19)),"0%")&amp;")")</f>
        <v>12 (42%)</v>
      </c>
      <c r="F20" s="3" t="str" cm="1">
        <f t="array" ref="F20">IF(COUNTA(F2:F19)=0,"0 (0%)",SUMPRODUCT(LEN(F2:F19))&amp;" ("&amp;TEXT(SUMPRODUCT(LEN(F2:F19)-LEN(SUBSTITUTE(F2:F19,"W","")))/SUMPRODUCT(LEN(F2:F19)),"0%")&amp;")")</f>
        <v>12 (58%)</v>
      </c>
      <c r="G20" s="3" t="str" cm="1">
        <f t="array" ref="G20">IF(COUNTA(G2:G19)=0,"0 (0%)",SUMPRODUCT(LEN(G2:G19))&amp;" ("&amp;TEXT(SUMPRODUCT(LEN(G2:G19)-LEN(SUBSTITUTE(G2:G19,"W","")))/SUMPRODUCT(LEN(G2:G19)),"0%")&amp;")")</f>
        <v>12 (50%)</v>
      </c>
      <c r="H20" s="3" t="str" cm="1">
        <f t="array" ref="H20">IF(COUNTA(H2:H19)=0,"0 (0%)",SUMPRODUCT(LEN(H2:H19))&amp;" ("&amp;TEXT(SUMPRODUCT(LEN(H2:H19)-LEN(SUBSTITUTE(H2:H19,"W","")))/SUMPRODUCT(LEN(H2:H19)),"0%")&amp;")")</f>
        <v>12 (50%)</v>
      </c>
      <c r="I20" s="1" t="str" cm="1">
        <f t="array" ref="I20">IF(COUNTA(B2:H19)=0,"0 (0%)",SUMPRODUCT(LEN(B2:H19))&amp;" ("&amp;TEXT(SUMPRODUCT(LEN(B2:H19)-LEN(SUBSTITUTE(B2:H19,"W","")))/SUMPRODUCT(LEN(B2:H19)),"0%")&amp;")")</f>
        <v>84 (56%)</v>
      </c>
      <c r="J20" s="1" t="s">
        <v>132</v>
      </c>
      <c r="K20" s="1"/>
    </row>
  </sheetData>
  <sortState xmlns:xlrd2="http://schemas.microsoft.com/office/spreadsheetml/2017/richdata2" ref="A2:K20">
    <sortCondition sortBy="cellColor" ref="I2:I20" dxfId="3"/>
    <sortCondition sortBy="cellColor" ref="I2:I20" dxfId="2"/>
    <sortCondition sortBy="cellColor" ref="I2:I20" dxfId="1"/>
    <sortCondition sortBy="cellColor" ref="I2:I20" dxfId="0"/>
    <sortCondition descending="1" ref="I2:I2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25</vt:i4>
      </vt:variant>
    </vt:vector>
  </HeadingPairs>
  <TitlesOfParts>
    <vt:vector size="25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  <vt:lpstr>6월 3주차</vt:lpstr>
      <vt:lpstr>6월 4주차</vt:lpstr>
      <vt:lpstr>7월 3주차</vt:lpstr>
      <vt:lpstr>7월 4주차</vt:lpstr>
      <vt:lpstr>7월 5주차</vt:lpstr>
      <vt:lpstr>8월 1주차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2026-08-02T13:19:25Z</dcterms:modified>
</cp:coreProperties>
</file>