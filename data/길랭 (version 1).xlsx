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scode\Html\Romang\"/>
    </mc:Choice>
  </mc:AlternateContent>
  <xr:revisionPtr revIDLastSave="0" documentId="13_ncr:1_{38D5FD92-2CA1-456E-BF0A-2A1DBD5897C5}" xr6:coauthVersionLast="47" xr6:coauthVersionMax="47" xr10:uidLastSave="{00000000-0000-0000-0000-000000000000}"/>
  <bookViews>
    <workbookView xWindow="-98" yWindow="-98" windowWidth="21795" windowHeight="12975" firstSheet="9" activeTab="15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2" l="1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2" i="22" a="1"/>
  <c r="I12" i="22" s="1"/>
  <c r="I13" i="22" a="1"/>
  <c r="I13" i="22" s="1"/>
  <c r="I9" i="22" a="1"/>
  <c r="I9" i="22" s="1"/>
  <c r="I11" i="22" a="1"/>
  <c r="I11" i="22" s="1"/>
  <c r="I10" i="22" a="1"/>
  <c r="I10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0" i="1"/>
  <c r="I19" i="3"/>
  <c r="I23" i="2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7" i="11" a="1"/>
  <c r="I17" i="11" s="1"/>
  <c r="I18" i="11" a="1"/>
  <c r="I18" i="11" s="1"/>
  <c r="I9" i="11" a="1"/>
  <c r="I9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2" i="11" a="1"/>
  <c r="I12" i="11" s="1"/>
  <c r="I11" i="11" a="1"/>
  <c r="I11" i="11" s="1"/>
  <c r="I10" i="11" a="1"/>
  <c r="I10" i="11" s="1"/>
  <c r="I21" i="11" a="1"/>
  <c r="I21" i="11" s="1"/>
  <c r="I16" i="11" a="1"/>
  <c r="I16" i="11" s="1"/>
  <c r="I13" i="11" a="1"/>
  <c r="I13" i="11" s="1"/>
  <c r="I7" i="11" a="1"/>
  <c r="I7" i="11" s="1"/>
  <c r="I5" i="11" a="1"/>
  <c r="I5" i="11" s="1"/>
  <c r="I14" i="11" a="1"/>
  <c r="I14" i="11" s="1"/>
  <c r="I8" i="11" a="1"/>
  <c r="I8" i="11" s="1"/>
  <c r="I3" i="11" a="1"/>
  <c r="I3" i="11" s="1"/>
  <c r="I15" i="11" a="1"/>
  <c r="I15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6" i="7" a="1"/>
  <c r="I6" i="7" s="1"/>
  <c r="I13" i="7" a="1"/>
  <c r="I13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4" i="7" a="1"/>
  <c r="I4" i="7" s="1"/>
  <c r="I17" i="7" a="1"/>
  <c r="I17" i="7" s="1"/>
  <c r="I15" i="7" a="1"/>
  <c r="I15" i="7" s="1"/>
  <c r="I10" i="7" a="1"/>
  <c r="I10" i="7" s="1"/>
  <c r="I14" i="7" a="1"/>
  <c r="I14" i="7" s="1"/>
  <c r="I18" i="7" a="1"/>
  <c r="I18" i="7" s="1"/>
  <c r="I5" i="7" a="1"/>
  <c r="I5" i="7" s="1"/>
  <c r="I11" i="7" a="1"/>
  <c r="I11" i="7" s="1"/>
  <c r="I16" i="7" a="1"/>
  <c r="I16" i="7" s="1"/>
  <c r="I12" i="7" a="1"/>
  <c r="I12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13" i="6" a="1"/>
  <c r="I13" i="6" s="1"/>
  <c r="I14" i="6" a="1"/>
  <c r="I14" i="6" s="1"/>
  <c r="I8" i="6" a="1"/>
  <c r="I8" i="6" s="1"/>
  <c r="I3" i="6" a="1"/>
  <c r="I3" i="6" s="1"/>
  <c r="I11" i="6" a="1"/>
  <c r="I11" i="6" s="1"/>
  <c r="I10" i="6" a="1"/>
  <c r="I10" i="6" s="1"/>
  <c r="I6" i="6" a="1"/>
  <c r="I6" i="6" s="1"/>
  <c r="I9" i="6" a="1"/>
  <c r="I9" i="6" s="1"/>
  <c r="I16" i="6" a="1"/>
  <c r="I16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2" i="6" a="1"/>
  <c r="I12" i="6" s="1"/>
  <c r="I19" i="6" a="1"/>
  <c r="I19" i="6" s="1"/>
  <c r="I17" i="6" a="1"/>
  <c r="I17" i="6" s="1"/>
  <c r="I24" i="6" a="1"/>
  <c r="I24" i="6" s="1"/>
  <c r="I15" i="6" a="1"/>
  <c r="I15" i="6" s="1"/>
  <c r="I26" i="5"/>
  <c r="I12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5" i="5"/>
  <c r="I4" i="5"/>
  <c r="I17" i="5"/>
  <c r="I10" i="5"/>
  <c r="I6" i="5"/>
  <c r="I16" i="5"/>
  <c r="I2" i="5"/>
  <c r="I3" i="5"/>
  <c r="I14" i="5"/>
  <c r="I5" i="5"/>
  <c r="I13" i="5"/>
  <c r="I11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9" i="2"/>
  <c r="I11" i="2"/>
  <c r="H19" i="3"/>
  <c r="G19" i="3"/>
  <c r="F19" i="3"/>
  <c r="E19" i="3"/>
  <c r="D19" i="3"/>
  <c r="C19" i="3"/>
  <c r="B19" i="3"/>
  <c r="I18" i="3"/>
  <c r="I17" i="3"/>
  <c r="I11" i="3"/>
  <c r="I16" i="3"/>
  <c r="I9" i="3"/>
  <c r="I15" i="3"/>
  <c r="I10" i="3"/>
  <c r="I14" i="3"/>
  <c r="I8" i="3"/>
  <c r="I7" i="3"/>
  <c r="I13" i="3"/>
  <c r="I12" i="3"/>
  <c r="I6" i="3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0" i="2"/>
  <c r="I8" i="2"/>
  <c r="I16" i="2"/>
  <c r="I15" i="2"/>
  <c r="I18" i="2"/>
  <c r="I7" i="2"/>
  <c r="I3" i="2"/>
  <c r="I6" i="2"/>
  <c r="I2" i="2"/>
  <c r="I20" i="2"/>
  <c r="I12" i="2"/>
  <c r="I4" i="2"/>
  <c r="I14" i="2"/>
  <c r="I19" i="2"/>
  <c r="I17" i="2"/>
  <c r="I13" i="2"/>
  <c r="C20" i="1"/>
  <c r="D20" i="1"/>
  <c r="E20" i="1"/>
  <c r="F20" i="1"/>
  <c r="G20" i="1"/>
  <c r="H20" i="1"/>
  <c r="B20" i="1"/>
  <c r="I13" i="1"/>
  <c r="I12" i="1"/>
  <c r="I17" i="1"/>
  <c r="I4" i="1"/>
  <c r="I8" i="1"/>
  <c r="I5" i="1"/>
  <c r="I9" i="1"/>
  <c r="I10" i="1"/>
  <c r="I6" i="1"/>
  <c r="I14" i="1"/>
  <c r="I7" i="1"/>
  <c r="I11" i="1"/>
  <c r="I3" i="1"/>
  <c r="I15" i="1"/>
  <c r="I16" i="1"/>
  <c r="I19" i="1"/>
  <c r="I18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<sst xmlns="http://schemas.openxmlformats.org/spreadsheetml/2006/main" count="1609" uniqueCount="231">
  <si>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</si>
  <si>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</si>
  <si>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</si>
  <si>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</si>
  <si>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</si>
  <si>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</si>
  <si>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</si>
  <si>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</si>
  <si>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</si>
  <si>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</si>
  <si>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</si>
  <si>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</si>
  <si>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</si>
  <si>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</si>
  <si>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</si>
  <si>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</si>
  <si>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</si>
  <si>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</si>
  <si>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</si>
  <si>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</si>
  <si>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</si>
  <si>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</si>
  <si>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</si>
  <si>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</si>
  <si>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</si>
  <si>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</si>
  <si>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</si>
  <si>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</si>
  <si>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</si>
  <si>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</si>
  <si>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</si>
  <si>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</si>
  <si>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</si>
  <si>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송나봄(요사히)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</si>
  <si>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</si>
  <si>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</si>
  <si>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</si>
  <si>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요사히=yvi=신앙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</si>
  <si>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</si>
  <si>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</si>
  <si>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</si>
  <si>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</si>
  <si>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yvi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</si>
  <si>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</si>
  <si>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</si>
  <si>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</si>
  <si>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</si>
  <si>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</si>
  <si>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</si>
  <si>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</si>
  <si>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</si>
  <si>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</si>
  <si>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</si>
  <si>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</si>
  <si>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</si>
  <si>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</si>
  <si>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</si>
  <si>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</si>
  <si>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세대큪(이바닥)</t>
    <phoneticPr fontId="1" type="noConversion"/>
  </si>
  <si>
    <t>룻(구매)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</si>
  <si>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</si>
  <si>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</si>
  <si>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</si>
  <si>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</si>
  <si>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</si>
  <si>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</si>
  <si>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</si>
  <si>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</si>
  <si>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</si>
  <si>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</si>
  <si>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</si>
  <si>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</si>
  <si>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</si>
  <si>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</si>
  <si>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</si>
  <si>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</si>
  <si>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</si>
  <si>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</si>
  <si>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송나봄=냥나봄?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</si>
  <si>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</si>
  <si>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</si>
  <si>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</si>
  <si>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</si>
  <si>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</si>
  <si>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</si>
  <si>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</si>
  <si>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</si>
  <si>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</si>
  <si>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</si>
  <si>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</si>
  <si>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</si>
  <si>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</si>
  <si>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</si>
  <si>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</si>
  <si>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</si>
  <si>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</si>
  <si>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연봄=송나봄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</si>
  <si>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</si>
  <si>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</si>
  <si>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</si>
  <si>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</si>
  <si>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</si>
  <si>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</si>
  <si>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</si>
  <si>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</si>
  <si>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</si>
  <si>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</si>
  <si>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</si>
  <si>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</si>
  <si>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</si>
  <si>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</si>
  <si>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</si>
  <si>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</si>
  <si>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</si>
  <si>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몽탄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</si>
  <si>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</si>
  <si>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</si>
  <si>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</si>
  <si>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</si>
  <si>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</si>
  <si>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</si>
  <si>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</si>
  <si>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</si>
  <si>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</si>
  <si>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</si>
  <si>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</si>
  <si>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</si>
  <si>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</si>
  <si>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</si>
  <si>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</si>
  <si>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</si>
  <si>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</si>
  <si>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</si>
  <si>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</si>
  <si>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</si>
  <si>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</si>
  <si>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</si>
  <si>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</si>
  <si>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</si>
  <si>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</si>
  <si>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</si>
  <si>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임딕=재완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</si>
  <si>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</si>
  <si>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</si>
  <si>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</si>
  <si>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</si>
  <si>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</si>
  <si>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</si>
  <si>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</si>
  <si>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</si>
  <si>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</si>
  <si>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</si>
  <si>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</si>
  <si>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</si>
  <si>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</si>
  <si>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</si>
  <si>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</si>
  <si>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</si>
  <si>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</si>
  <si>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</si>
  <si>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</si>
  <si>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</si>
  <si>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</si>
  <si>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</si>
  <si>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</si>
  <si>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</si>
  <si>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</si>
  <si>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</si>
  <si>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</si>
  <si>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</si>
  <si>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</si>
  <si>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</si>
  <si>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</si>
  <si>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</si>
  <si>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</si>
  <si>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</si>
  <si>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</si>
  <si>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</si>
  <si>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</si>
  <si>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</si>
  <si>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까옹+캬옹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</si>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</sst>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121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7C7A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I21" sqref="I21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8" t="s">
        <v>19</v>
      </c>
      <c r="B12" s="9"/>
      <c r="C12" s="9"/>
      <c r="D12" s="9"/>
      <c r="E12" s="9"/>
      <c r="F12" s="9"/>
      <c r="G12" s="9">
        <v>1</v>
      </c>
      <c r="H12" s="9"/>
      <c r="I12" s="9">
        <f t="shared" si="0"/>
        <v>1</v>
      </c>
      <c r="J12" s="9"/>
    </row>
    <row r="13" spans="1:10" x14ac:dyDescent="0.6">
      <c r="A13" s="8" t="s">
        <v>18</v>
      </c>
      <c r="B13" s="9"/>
      <c r="C13" s="9"/>
      <c r="D13" s="9"/>
      <c r="E13" s="9"/>
      <c r="F13" s="9"/>
      <c r="G13" s="9"/>
      <c r="H13" s="9">
        <v>1</v>
      </c>
      <c r="I13" s="9">
        <f t="shared" si="0"/>
        <v>1</v>
      </c>
      <c r="J13" s="9"/>
    </row>
    <row r="14" spans="1:10" x14ac:dyDescent="0.6">
      <c r="A14" s="6" t="s">
        <v>7</v>
      </c>
      <c r="B14" s="7">
        <v>1</v>
      </c>
      <c r="C14" s="7"/>
      <c r="D14" s="7">
        <v>1</v>
      </c>
      <c r="E14" s="7"/>
      <c r="F14" s="7">
        <v>1</v>
      </c>
      <c r="G14" s="7"/>
      <c r="H14" s="7">
        <v>1</v>
      </c>
      <c r="I14" s="7">
        <f t="shared" si="0"/>
        <v>4</v>
      </c>
      <c r="J14" s="7"/>
    </row>
    <row r="15" spans="1:10" x14ac:dyDescent="0.6">
      <c r="A15" s="6" t="s">
        <v>11</v>
      </c>
      <c r="B15" s="7"/>
      <c r="C15" s="7">
        <v>1</v>
      </c>
      <c r="D15" s="7"/>
      <c r="E15" s="7">
        <v>1</v>
      </c>
      <c r="F15" s="7">
        <v>1</v>
      </c>
      <c r="G15" s="7">
        <v>1</v>
      </c>
      <c r="H15" s="7"/>
      <c r="I15" s="7">
        <f t="shared" si="0"/>
        <v>4</v>
      </c>
      <c r="J15" s="7"/>
    </row>
    <row r="16" spans="1:10" x14ac:dyDescent="0.6">
      <c r="A16" s="6" t="s">
        <v>12</v>
      </c>
      <c r="B16" s="7"/>
      <c r="C16" s="7"/>
      <c r="D16" s="7">
        <v>1</v>
      </c>
      <c r="E16" s="7">
        <v>1</v>
      </c>
      <c r="F16" s="7">
        <v>1</v>
      </c>
      <c r="G16" s="7"/>
      <c r="H16" s="7"/>
      <c r="I16" s="7">
        <f t="shared" si="0"/>
        <v>3</v>
      </c>
      <c r="J16" s="7"/>
    </row>
    <row r="17" spans="1:10" x14ac:dyDescent="0.6">
      <c r="A17" s="6" t="s">
        <v>16</v>
      </c>
      <c r="B17" s="7"/>
      <c r="C17" s="7"/>
      <c r="D17" s="7"/>
      <c r="E17" s="7"/>
      <c r="F17" s="7">
        <v>1</v>
      </c>
      <c r="G17" s="7">
        <v>1</v>
      </c>
      <c r="H17" s="7">
        <v>1</v>
      </c>
      <c r="I17" s="7">
        <f t="shared" si="0"/>
        <v>3</v>
      </c>
      <c r="J17" s="7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120"/>
    <sortCondition sortBy="cellColor" ref="I2:I19" dxfId="119"/>
    <sortCondition sortBy="cellColor" ref="I2:I19" dxfId="118"/>
    <sortCondition sortBy="cellColor" ref="I2:I19" dxfId="117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I26" sqref="I26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8" t="s">
        <v>26</v>
      </c>
      <c r="B10" s="9"/>
      <c r="C10" s="9"/>
      <c r="D10" s="9"/>
      <c r="E10" s="9"/>
      <c r="F10" s="9"/>
      <c r="G10" s="9">
        <v>1</v>
      </c>
      <c r="H10" s="9">
        <v>1</v>
      </c>
      <c r="I10" s="9">
        <f t="shared" si="0"/>
        <v>2</v>
      </c>
      <c r="J10" s="9" t="s">
        <v>28</v>
      </c>
    </row>
    <row r="11" spans="1:10" x14ac:dyDescent="0.6">
      <c r="A11" s="8" t="s">
        <v>24</v>
      </c>
      <c r="B11" s="9"/>
      <c r="C11" s="9"/>
      <c r="D11" s="9"/>
      <c r="E11" s="9"/>
      <c r="F11" s="9"/>
      <c r="G11" s="9"/>
      <c r="H11" s="9">
        <v>1</v>
      </c>
      <c r="I11" s="9">
        <f t="shared" si="0"/>
        <v>1</v>
      </c>
      <c r="J11" s="9" t="s">
        <v>29</v>
      </c>
    </row>
    <row r="12" spans="1:10" x14ac:dyDescent="0.6">
      <c r="A12" s="6" t="s">
        <v>22</v>
      </c>
      <c r="B12" s="7"/>
      <c r="C12" s="7">
        <v>1</v>
      </c>
      <c r="D12" s="7"/>
      <c r="E12" s="7">
        <v>1</v>
      </c>
      <c r="F12" s="7"/>
      <c r="G12" s="7">
        <v>1</v>
      </c>
      <c r="H12" s="7"/>
      <c r="I12" s="7">
        <f t="shared" si="0"/>
        <v>3</v>
      </c>
      <c r="J12" s="7"/>
    </row>
    <row r="13" spans="1:10" x14ac:dyDescent="0.6">
      <c r="A13" s="6" t="s">
        <v>19</v>
      </c>
      <c r="B13" s="7">
        <v>1</v>
      </c>
      <c r="C13" s="7"/>
      <c r="D13" s="7"/>
      <c r="E13" s="7"/>
      <c r="F13" s="7"/>
      <c r="G13" s="7"/>
      <c r="H13" s="7"/>
      <c r="I13" s="7">
        <f t="shared" si="0"/>
        <v>1</v>
      </c>
      <c r="J13" s="7"/>
    </row>
    <row r="14" spans="1:10" x14ac:dyDescent="0.6">
      <c r="A14" s="6" t="s">
        <v>9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6" t="s">
        <v>7</v>
      </c>
      <c r="B15" s="7">
        <v>1</v>
      </c>
      <c r="C15" s="7"/>
      <c r="D15" s="7"/>
      <c r="E15" s="7"/>
      <c r="F15" s="7">
        <v>1</v>
      </c>
      <c r="G15" s="7"/>
      <c r="H15" s="7">
        <v>1</v>
      </c>
      <c r="I15" s="7">
        <f t="shared" si="0"/>
        <v>3</v>
      </c>
      <c r="J15" s="7"/>
    </row>
    <row r="16" spans="1:10" x14ac:dyDescent="0.6">
      <c r="A16" s="6" t="s">
        <v>12</v>
      </c>
      <c r="B16" s="7"/>
      <c r="C16" s="7"/>
      <c r="D16" s="7"/>
      <c r="E16" s="7"/>
      <c r="F16" s="7">
        <v>1</v>
      </c>
      <c r="G16" s="7"/>
      <c r="H16" s="7"/>
      <c r="I16" s="7">
        <f t="shared" si="0"/>
        <v>1</v>
      </c>
      <c r="J16" s="7"/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116"/>
    <sortCondition sortBy="cellColor" ref="B2:B18" dxfId="115"/>
    <sortCondition sortBy="cellColor" ref="B2:B18" dxfId="114"/>
    <sortCondition sortBy="cellColor" ref="B2:B18" dxfId="11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J28" sqref="J28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34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8" t="s">
        <v>32</v>
      </c>
      <c r="B9" s="9"/>
      <c r="C9" s="9"/>
      <c r="D9" s="9"/>
      <c r="E9" s="9"/>
      <c r="F9" s="9">
        <v>1</v>
      </c>
      <c r="G9" s="9">
        <v>1</v>
      </c>
      <c r="H9" s="9">
        <v>1</v>
      </c>
      <c r="I9" s="9">
        <f t="shared" si="0"/>
        <v>3</v>
      </c>
      <c r="J9" s="9"/>
    </row>
    <row r="10" spans="1:10" x14ac:dyDescent="0.6">
      <c r="A10" s="8" t="s">
        <v>25</v>
      </c>
      <c r="B10" s="9"/>
      <c r="C10" s="9"/>
      <c r="D10" s="9"/>
      <c r="E10" s="9"/>
      <c r="F10" s="9">
        <v>1</v>
      </c>
      <c r="G10" s="9"/>
      <c r="H10" s="9"/>
      <c r="I10" s="9">
        <f t="shared" si="0"/>
        <v>1</v>
      </c>
      <c r="J10" s="9"/>
    </row>
    <row r="11" spans="1:10" x14ac:dyDescent="0.6">
      <c r="A11" s="8" t="s">
        <v>31</v>
      </c>
      <c r="B11" s="9"/>
      <c r="C11" s="9"/>
      <c r="D11" s="9"/>
      <c r="E11" s="9"/>
      <c r="F11" s="9">
        <v>1</v>
      </c>
      <c r="G11" s="9"/>
      <c r="H11" s="9"/>
      <c r="I11" s="9">
        <f t="shared" si="0"/>
        <v>1</v>
      </c>
      <c r="J11" s="9"/>
    </row>
    <row r="12" spans="1:10" x14ac:dyDescent="0.6">
      <c r="A12" s="6" t="s">
        <v>33</v>
      </c>
      <c r="B12" s="7">
        <v>1</v>
      </c>
      <c r="C12" s="7"/>
      <c r="D12" s="7"/>
      <c r="E12" s="7">
        <v>1</v>
      </c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0</v>
      </c>
      <c r="B13" s="7"/>
      <c r="C13" s="7">
        <v>1</v>
      </c>
      <c r="D13" s="7">
        <v>2</v>
      </c>
      <c r="E13" s="7">
        <v>1</v>
      </c>
      <c r="F13" s="7"/>
      <c r="G13" s="7"/>
      <c r="H13" s="7"/>
      <c r="I13" s="7">
        <f t="shared" si="0"/>
        <v>4</v>
      </c>
      <c r="J13" s="7"/>
    </row>
    <row r="14" spans="1:10" x14ac:dyDescent="0.6">
      <c r="A14" s="6" t="s">
        <v>2</v>
      </c>
      <c r="B14" s="7">
        <v>1</v>
      </c>
      <c r="C14" s="7"/>
      <c r="D14" s="7">
        <v>1</v>
      </c>
      <c r="E14" s="7">
        <v>1</v>
      </c>
      <c r="F14" s="7"/>
      <c r="G14" s="7">
        <v>1</v>
      </c>
      <c r="H14" s="7"/>
      <c r="I14" s="7">
        <f t="shared" si="0"/>
        <v>4</v>
      </c>
      <c r="J14" s="7"/>
    </row>
    <row r="15" spans="1:10" x14ac:dyDescent="0.6">
      <c r="A15" s="6" t="s">
        <v>18</v>
      </c>
      <c r="B15" s="7"/>
      <c r="C15" s="7">
        <v>2</v>
      </c>
      <c r="D15" s="7"/>
      <c r="E15" s="7"/>
      <c r="F15" s="7">
        <v>2</v>
      </c>
      <c r="G15" s="7"/>
      <c r="H15" s="7"/>
      <c r="I15" s="7">
        <f t="shared" si="0"/>
        <v>4</v>
      </c>
      <c r="J15" s="7"/>
    </row>
    <row r="16" spans="1:10" x14ac:dyDescent="0.6">
      <c r="A16" s="6" t="s">
        <v>12</v>
      </c>
      <c r="B16" s="7"/>
      <c r="C16" s="7">
        <v>1</v>
      </c>
      <c r="D16" s="7"/>
      <c r="E16" s="7">
        <v>1</v>
      </c>
      <c r="F16" s="7"/>
      <c r="G16" s="7">
        <v>1</v>
      </c>
      <c r="H16" s="7">
        <v>1</v>
      </c>
      <c r="I16" s="7">
        <f t="shared" si="0"/>
        <v>4</v>
      </c>
      <c r="J16" s="7"/>
    </row>
    <row r="17" spans="1:12" x14ac:dyDescent="0.6">
      <c r="A17" s="6" t="s">
        <v>1</v>
      </c>
      <c r="B17" s="7">
        <v>1</v>
      </c>
      <c r="C17" s="7">
        <v>1</v>
      </c>
      <c r="D17" s="7"/>
      <c r="E17" s="7"/>
      <c r="F17" s="7"/>
      <c r="G17" s="7"/>
      <c r="H17" s="7">
        <v>1</v>
      </c>
      <c r="I17" s="7">
        <f t="shared" si="0"/>
        <v>3</v>
      </c>
      <c r="J17" s="7"/>
    </row>
    <row r="18" spans="1:12" x14ac:dyDescent="0.6">
      <c r="A18" s="6" t="s">
        <v>7</v>
      </c>
      <c r="B18" s="7"/>
      <c r="C18" s="7">
        <v>1</v>
      </c>
      <c r="D18" s="7"/>
      <c r="E18" s="7"/>
      <c r="F18" s="7"/>
      <c r="G18" s="7">
        <v>1</v>
      </c>
      <c r="H18" s="7">
        <v>1</v>
      </c>
      <c r="I18" s="7">
        <f t="shared" si="0"/>
        <v>3</v>
      </c>
      <c r="J18" s="7"/>
    </row>
    <row r="19" spans="1:12" x14ac:dyDescent="0.6">
      <c r="A19" s="6" t="s">
        <v>3</v>
      </c>
      <c r="B19" s="7"/>
      <c r="C19" s="7"/>
      <c r="D19" s="7">
        <v>1</v>
      </c>
      <c r="E19" s="7"/>
      <c r="F19" s="7"/>
      <c r="G19" s="7">
        <v>1</v>
      </c>
      <c r="H19" s="7"/>
      <c r="I19" s="7">
        <f t="shared" si="0"/>
        <v>2</v>
      </c>
      <c r="J19" s="7"/>
    </row>
    <row r="20" spans="1:12" x14ac:dyDescent="0.6">
      <c r="A20" s="6" t="s">
        <v>19</v>
      </c>
      <c r="B20" s="7">
        <v>1</v>
      </c>
      <c r="C20" s="7"/>
      <c r="D20" s="7"/>
      <c r="E20" s="7"/>
      <c r="F20" s="7"/>
      <c r="G20" s="7"/>
      <c r="H20" s="7"/>
      <c r="I20" s="7">
        <f t="shared" si="0"/>
        <v>1</v>
      </c>
      <c r="J20" s="7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1:I22">
    <sortCondition descending="1" ref="I21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K28" sqref="K28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34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35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38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36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215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37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L15" sqref="L1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45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40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46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45</v>
      </c>
    </row>
    <row r="10" spans="1:10" x14ac:dyDescent="0.6">
      <c r="A10" s="8" t="s">
        <v>12</v>
      </c>
      <c r="B10" s="9"/>
      <c r="C10" s="9">
        <v>1</v>
      </c>
      <c r="D10" s="9">
        <v>1</v>
      </c>
      <c r="E10" s="9">
        <v>1</v>
      </c>
      <c r="F10" s="9"/>
      <c r="G10" s="9"/>
      <c r="H10" s="9"/>
      <c r="I10" s="9">
        <f t="shared" si="0"/>
        <v>3</v>
      </c>
      <c r="J10" s="9"/>
    </row>
    <row r="11" spans="1:10" x14ac:dyDescent="0.6">
      <c r="A11" s="8" t="s">
        <v>1</v>
      </c>
      <c r="B11" s="9"/>
      <c r="C11" s="9">
        <v>1</v>
      </c>
      <c r="D11" s="9"/>
      <c r="E11" s="9">
        <v>1</v>
      </c>
      <c r="F11" s="9"/>
      <c r="G11" s="9">
        <v>1</v>
      </c>
      <c r="H11" s="9">
        <v>1</v>
      </c>
      <c r="I11" s="9">
        <f t="shared" si="0"/>
        <v>4</v>
      </c>
      <c r="J11" s="9" t="s">
        <v>47</v>
      </c>
    </row>
    <row r="12" spans="1:10" x14ac:dyDescent="0.6">
      <c r="A12" s="8" t="s">
        <v>39</v>
      </c>
      <c r="B12" s="9">
        <v>1</v>
      </c>
      <c r="C12" s="9">
        <v>1</v>
      </c>
      <c r="D12" s="9"/>
      <c r="E12" s="9"/>
      <c r="F12" s="9"/>
      <c r="G12" s="9">
        <v>2</v>
      </c>
      <c r="H12" s="9"/>
      <c r="I12" s="9">
        <f t="shared" si="0"/>
        <v>4</v>
      </c>
      <c r="J12" s="9" t="s">
        <v>213</v>
      </c>
    </row>
    <row r="13" spans="1:10" x14ac:dyDescent="0.6">
      <c r="A13" s="8" t="s">
        <v>8</v>
      </c>
      <c r="B13" s="9">
        <v>1</v>
      </c>
      <c r="C13" s="9"/>
      <c r="D13" s="9"/>
      <c r="E13" s="9"/>
      <c r="F13" s="9"/>
      <c r="G13" s="9"/>
      <c r="H13" s="9">
        <v>1</v>
      </c>
      <c r="I13" s="9">
        <f t="shared" si="0"/>
        <v>2</v>
      </c>
      <c r="J13" s="9" t="s">
        <v>48</v>
      </c>
    </row>
    <row r="14" spans="1:10" x14ac:dyDescent="0.6">
      <c r="A14" s="8" t="s">
        <v>34</v>
      </c>
      <c r="B14" s="9"/>
      <c r="C14" s="9"/>
      <c r="D14" s="9"/>
      <c r="E14" s="9"/>
      <c r="F14" s="9">
        <v>1</v>
      </c>
      <c r="G14" s="9">
        <v>1</v>
      </c>
      <c r="H14" s="9"/>
      <c r="I14" s="9">
        <f t="shared" si="0"/>
        <v>2</v>
      </c>
      <c r="J14" s="9" t="s">
        <v>44</v>
      </c>
    </row>
    <row r="15" spans="1:10" x14ac:dyDescent="0.6">
      <c r="A15" s="8" t="s">
        <v>25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216</v>
      </c>
    </row>
    <row r="16" spans="1:10" x14ac:dyDescent="0.6">
      <c r="A16" s="6" t="s">
        <v>9</v>
      </c>
      <c r="B16" s="7"/>
      <c r="C16" s="7"/>
      <c r="D16" s="7"/>
      <c r="E16" s="7"/>
      <c r="F16" s="7"/>
      <c r="G16" s="7">
        <v>1</v>
      </c>
      <c r="H16" s="7"/>
      <c r="I16" s="7">
        <f t="shared" si="0"/>
        <v>1</v>
      </c>
      <c r="J16" s="7"/>
    </row>
    <row r="17" spans="1:10" x14ac:dyDescent="0.6">
      <c r="A17" s="6" t="s">
        <v>26</v>
      </c>
      <c r="B17" s="7"/>
      <c r="C17" s="7"/>
      <c r="D17" s="7"/>
      <c r="E17" s="7"/>
      <c r="F17" s="7"/>
      <c r="G17" s="7"/>
      <c r="H17" s="7"/>
      <c r="I17" s="7">
        <f t="shared" si="0"/>
        <v>0</v>
      </c>
      <c r="J17" s="7"/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41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211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47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131</v>
      </c>
    </row>
    <row r="23" spans="1:10" x14ac:dyDescent="0.6">
      <c r="A23" s="4" t="s">
        <v>43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95</v>
      </c>
    </row>
    <row r="24" spans="1:10" x14ac:dyDescent="0.6">
      <c r="A24" s="4" t="s">
        <v>42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214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49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211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10:J15">
    <sortCondition descending="1" ref="I10:I15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16" sqref="A13:J1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53</v>
      </c>
      <c r="J1" s="1" t="s">
        <v>20</v>
      </c>
    </row>
    <row r="2" spans="1:10" x14ac:dyDescent="0.6">
      <c r="A2" s="2" t="s">
        <v>22</v>
      </c>
      <c r="B2" s="3" t="s">
        <v>51</v>
      </c>
      <c r="C2" s="3" t="s">
        <v>50</v>
      </c>
      <c r="D2" s="3" t="s">
        <v>50</v>
      </c>
      <c r="E2" s="3" t="s">
        <v>50</v>
      </c>
      <c r="F2" s="3" t="s">
        <v>57</v>
      </c>
      <c r="G2" s="3" t="s">
        <v>57</v>
      </c>
      <c r="H2" s="3" t="s">
        <v>66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47</v>
      </c>
    </row>
    <row r="3" spans="1:10" x14ac:dyDescent="0.6">
      <c r="A3" s="2" t="s">
        <v>12</v>
      </c>
      <c r="B3" s="3" t="s">
        <v>51</v>
      </c>
      <c r="C3" s="3" t="s">
        <v>51</v>
      </c>
      <c r="D3" s="3" t="s">
        <v>50</v>
      </c>
      <c r="E3" s="3" t="s">
        <v>51</v>
      </c>
      <c r="F3" s="3" t="s">
        <v>57</v>
      </c>
      <c r="G3" s="3" t="s">
        <v>56</v>
      </c>
      <c r="H3" s="3" t="s">
        <v>63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50</v>
      </c>
      <c r="D4" s="3" t="s">
        <v>50</v>
      </c>
      <c r="E4" s="3" t="s">
        <v>51</v>
      </c>
      <c r="F4" s="3" t="s">
        <v>56</v>
      </c>
      <c r="G4" s="3" t="s">
        <v>56</v>
      </c>
      <c r="H4" s="3" t="s">
        <v>64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40</v>
      </c>
      <c r="B5" s="3"/>
      <c r="C5" s="3" t="s">
        <v>51</v>
      </c>
      <c r="D5" s="3" t="s">
        <v>51</v>
      </c>
      <c r="E5" s="3" t="s">
        <v>51</v>
      </c>
      <c r="F5" s="3" t="s">
        <v>57</v>
      </c>
      <c r="G5" s="3" t="s">
        <v>56</v>
      </c>
      <c r="H5" s="3" t="s">
        <v>63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60</v>
      </c>
      <c r="B6" s="3" t="s">
        <v>50</v>
      </c>
      <c r="C6" s="3" t="s">
        <v>50</v>
      </c>
      <c r="D6" s="3" t="s">
        <v>50</v>
      </c>
      <c r="E6" s="3" t="s">
        <v>51</v>
      </c>
      <c r="F6" s="3" t="s">
        <v>56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52</v>
      </c>
      <c r="C7" s="3" t="s">
        <v>52</v>
      </c>
      <c r="D7" s="3"/>
      <c r="E7" s="3" t="s">
        <v>50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50</v>
      </c>
      <c r="D8" s="3" t="s">
        <v>50</v>
      </c>
      <c r="E8" s="3"/>
      <c r="F8" s="3" t="s">
        <v>56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45</v>
      </c>
    </row>
    <row r="9" spans="1:10" x14ac:dyDescent="0.6">
      <c r="A9" s="8" t="s">
        <v>34</v>
      </c>
      <c r="B9" s="9" t="s">
        <v>51</v>
      </c>
      <c r="C9" s="9" t="s">
        <v>51</v>
      </c>
      <c r="D9" s="9"/>
      <c r="E9" s="9"/>
      <c r="F9" s="9"/>
      <c r="G9" s="9" t="s">
        <v>57</v>
      </c>
      <c r="H9" s="9" t="s">
        <v>64</v>
      </c>
      <c r="I9" s="9" t="str" cm="1">
        <f t="array" ref="I9">IF(COUNTA(B9:H9)=0,"0 (0%)",SUMPRODUCT(LEN(B9:H9))&amp;" ("&amp;TEXT(SUMPRODUCT(LEN(B9:H9)-LEN(SUBSTITUTE(B9:H9,"W","")))/SUMPRODUCT(LEN(B9:H9)),"0%")&amp;")")</f>
        <v>4 (25%)</v>
      </c>
      <c r="J9" s="9" t="s">
        <v>44</v>
      </c>
    </row>
    <row r="10" spans="1:10" x14ac:dyDescent="0.6">
      <c r="A10" s="8" t="s">
        <v>54</v>
      </c>
      <c r="B10" s="9"/>
      <c r="C10" s="9"/>
      <c r="D10" s="9" t="s">
        <v>51</v>
      </c>
      <c r="E10" s="9"/>
      <c r="F10" s="9" t="s">
        <v>56</v>
      </c>
      <c r="G10" s="9" t="s">
        <v>56</v>
      </c>
      <c r="H10" s="9" t="s">
        <v>65</v>
      </c>
      <c r="I10" s="9" t="str" cm="1">
        <f t="array" ref="I10">IF(COUNTA(B10:H10)=0,"0 (0%)",SUMPRODUCT(LEN(B10:H10))&amp;" ("&amp;TEXT(SUMPRODUCT(LEN(B10:H10)-LEN(SUBSTITUTE(B10:H10,"W","")))/SUMPRODUCT(LEN(B10:H10)),"0%")&amp;")")</f>
        <v>4 (25%)</v>
      </c>
      <c r="J10" s="9" t="s">
        <v>61</v>
      </c>
    </row>
    <row r="11" spans="1:10" x14ac:dyDescent="0.6">
      <c r="A11" s="8" t="s">
        <v>1</v>
      </c>
      <c r="B11" s="9"/>
      <c r="C11" s="9"/>
      <c r="D11" s="9" t="s">
        <v>51</v>
      </c>
      <c r="E11" s="9"/>
      <c r="F11" s="9"/>
      <c r="G11" s="9" t="s">
        <v>57</v>
      </c>
      <c r="H11" s="9" t="s">
        <v>66</v>
      </c>
      <c r="I11" s="9" t="str" cm="1">
        <f t="array" ref="I11">IF(COUNTA(B11:H11)=0,"0 (0%)",SUMPRODUCT(LEN(B11:H11))&amp;" ("&amp;TEXT(SUMPRODUCT(LEN(B11:H11)-LEN(SUBSTITUTE(B11:H11,"W","")))/SUMPRODUCT(LEN(B11:H11)),"0%")&amp;")")</f>
        <v>3 (33%)</v>
      </c>
      <c r="J11" s="9" t="s">
        <v>47</v>
      </c>
    </row>
    <row r="12" spans="1:10" x14ac:dyDescent="0.6">
      <c r="A12" s="8" t="s">
        <v>58</v>
      </c>
      <c r="B12" s="9"/>
      <c r="C12" s="9"/>
      <c r="D12" s="9"/>
      <c r="E12" s="9" t="s">
        <v>50</v>
      </c>
      <c r="F12" s="9"/>
      <c r="G12" s="9" t="s">
        <v>57</v>
      </c>
      <c r="H12" s="9"/>
      <c r="I12" s="9" t="str" cm="1">
        <f t="array" ref="I12">IF(COUNTA(B12:H12)=0,"0 (0%)",SUMPRODUCT(LEN(B12:H12))&amp;" ("&amp;TEXT(SUMPRODUCT(LEN(B12:H12)-LEN(SUBSTITUTE(B12:H12,"W","")))/SUMPRODUCT(LEN(B12:H12)),"0%")&amp;")")</f>
        <v>2 (100%)</v>
      </c>
      <c r="J12" s="9" t="s">
        <v>212</v>
      </c>
    </row>
    <row r="13" spans="1:10" x14ac:dyDescent="0.6">
      <c r="A13" s="6" t="s">
        <v>18</v>
      </c>
      <c r="B13" s="7" t="s">
        <v>50</v>
      </c>
      <c r="C13" s="7"/>
      <c r="D13" s="7"/>
      <c r="E13" s="7"/>
      <c r="F13" s="7"/>
      <c r="G13" s="7" t="s">
        <v>57</v>
      </c>
      <c r="H13" s="7" t="s">
        <v>66</v>
      </c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/>
    </row>
    <row r="14" spans="1:10" x14ac:dyDescent="0.6">
      <c r="A14" s="6" t="s">
        <v>15</v>
      </c>
      <c r="B14" s="7"/>
      <c r="C14" s="7"/>
      <c r="D14" s="7"/>
      <c r="E14" s="7" t="s">
        <v>51</v>
      </c>
      <c r="F14" s="7" t="s">
        <v>56</v>
      </c>
      <c r="G14" s="7"/>
      <c r="H14" s="7" t="s">
        <v>63</v>
      </c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6" t="s">
        <v>19</v>
      </c>
      <c r="B15" s="7" t="s">
        <v>51</v>
      </c>
      <c r="C15" s="7"/>
      <c r="D15" s="7"/>
      <c r="E15" s="7"/>
      <c r="F15" s="7" t="s">
        <v>56</v>
      </c>
      <c r="G15" s="7"/>
      <c r="H15" s="7" t="s">
        <v>64</v>
      </c>
      <c r="I15" s="7" t="str" cm="1">
        <f t="array" ref="I15">IF(COUNTA(B15:H15)=0,"0 (0%)",SUMPRODUCT(LEN(B15:H15))&amp;" ("&amp;TEXT(SUMPRODUCT(LEN(B15:H15)-LEN(SUBSTITUTE(B15:H15,"W","")))/SUMPRODUCT(LEN(B15:H15)),"0%")&amp;")")</f>
        <v>3 (0%)</v>
      </c>
      <c r="J15" s="10" t="s">
        <v>45</v>
      </c>
    </row>
    <row r="16" spans="1:10" x14ac:dyDescent="0.6">
      <c r="A16" s="6" t="s">
        <v>9</v>
      </c>
      <c r="B16" s="7"/>
      <c r="C16" s="7"/>
      <c r="D16" s="7" t="s">
        <v>51</v>
      </c>
      <c r="E16" s="7" t="s">
        <v>51</v>
      </c>
      <c r="F16" s="7"/>
      <c r="G16" s="7"/>
      <c r="H16" s="7"/>
      <c r="I16" s="7" t="str" cm="1">
        <f t="array" ref="I16">IF(COUNTA(B16:H16)=0,"0 (0%)",SUMPRODUCT(LEN(B16:H16))&amp;" ("&amp;TEXT(SUMPRODUCT(LEN(B16:H16)-LEN(SUBSTITUTE(B16:H16,"W","")))/SUMPRODUCT(LEN(B16:H16)),"0%")&amp;")")</f>
        <v>2 (0%)</v>
      </c>
      <c r="J16" s="7"/>
    </row>
    <row r="17" spans="1:10" x14ac:dyDescent="0.6">
      <c r="A17" s="4" t="s">
        <v>49</v>
      </c>
      <c r="B17" s="5" t="s">
        <v>50</v>
      </c>
      <c r="C17" s="5" t="s">
        <v>50</v>
      </c>
      <c r="D17" s="5" t="s">
        <v>51</v>
      </c>
      <c r="E17" s="5" t="s">
        <v>50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211</v>
      </c>
    </row>
    <row r="18" spans="1:10" x14ac:dyDescent="0.6">
      <c r="A18" s="4" t="s">
        <v>2</v>
      </c>
      <c r="B18" s="5" t="s">
        <v>50</v>
      </c>
      <c r="C18" s="5"/>
      <c r="D18" s="5" t="s">
        <v>50</v>
      </c>
      <c r="E18" s="5"/>
      <c r="F18" s="5" t="s">
        <v>57</v>
      </c>
      <c r="G18" s="5" t="s">
        <v>56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59</v>
      </c>
      <c r="B19" s="5"/>
      <c r="C19" s="5"/>
      <c r="D19" s="5"/>
      <c r="E19" s="5" t="s">
        <v>51</v>
      </c>
      <c r="F19" s="5" t="s">
        <v>57</v>
      </c>
      <c r="G19" s="5" t="s">
        <v>56</v>
      </c>
      <c r="H19" s="5" t="s">
        <v>65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55</v>
      </c>
      <c r="B20" s="5"/>
      <c r="C20" s="5"/>
      <c r="D20" s="5" t="s">
        <v>51</v>
      </c>
      <c r="E20" s="5"/>
      <c r="F20" s="5"/>
      <c r="G20" s="5" t="s">
        <v>57</v>
      </c>
      <c r="H20" s="5" t="s">
        <v>63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211</v>
      </c>
    </row>
    <row r="21" spans="1:10" x14ac:dyDescent="0.6">
      <c r="A21" s="4" t="s">
        <v>43</v>
      </c>
      <c r="B21" s="5"/>
      <c r="C21" s="5" t="s">
        <v>50</v>
      </c>
      <c r="D21" s="5"/>
      <c r="E21" s="5" t="s">
        <v>50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95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57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51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62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112"/>
    <sortCondition sortBy="cellColor" ref="I2:I24" dxfId="111"/>
    <sortCondition sortBy="cellColor" ref="I2:I24" dxfId="110"/>
    <sortCondition sortBy="cellColor" ref="I2:I24" dxfId="109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J23" sqref="J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53</v>
      </c>
      <c r="J1" s="1" t="s">
        <v>20</v>
      </c>
    </row>
    <row r="2" spans="1:10" x14ac:dyDescent="0.6">
      <c r="A2" s="2" t="s">
        <v>32</v>
      </c>
      <c r="B2" s="3" t="s">
        <v>51</v>
      </c>
      <c r="C2" s="3" t="s">
        <v>51</v>
      </c>
      <c r="D2" s="3" t="s">
        <v>51</v>
      </c>
      <c r="E2" s="3" t="s">
        <v>50</v>
      </c>
      <c r="F2" s="3" t="s">
        <v>71</v>
      </c>
      <c r="G2" s="3" t="s">
        <v>71</v>
      </c>
      <c r="H2" s="3" t="s">
        <v>76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51</v>
      </c>
      <c r="C3" s="3" t="s">
        <v>50</v>
      </c>
      <c r="D3" s="3" t="s">
        <v>51</v>
      </c>
      <c r="E3" s="3" t="s">
        <v>50</v>
      </c>
      <c r="F3" s="3" t="s">
        <v>71</v>
      </c>
      <c r="G3" s="3" t="s">
        <v>73</v>
      </c>
      <c r="H3" s="3" t="s">
        <v>77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19</v>
      </c>
      <c r="B4" s="3" t="s">
        <v>50</v>
      </c>
      <c r="C4" s="3" t="s">
        <v>50</v>
      </c>
      <c r="D4" s="3" t="s">
        <v>50</v>
      </c>
      <c r="E4" s="3" t="s">
        <v>51</v>
      </c>
      <c r="F4" s="3"/>
      <c r="G4" s="3"/>
      <c r="H4" s="3" t="s">
        <v>76</v>
      </c>
      <c r="I4" s="3" t="str" cm="1">
        <f t="array" ref="I4">IF(COUNTA(B4:H4)=0,"0 (0%)",SUMPRODUCT(LEN(B4:H4))&amp;" ("&amp;TEXT(SUMPRODUCT(LEN(B4:H4)-LEN(SUBSTITUTE(B4:H4,"W","")))/SUMPRODUCT(LEN(B4:H4)),"0%")&amp;")")</f>
        <v>5 (80%)</v>
      </c>
      <c r="J4" s="13" t="s">
        <v>45</v>
      </c>
    </row>
    <row r="5" spans="1:10" x14ac:dyDescent="0.6">
      <c r="A5" s="2" t="s">
        <v>34</v>
      </c>
      <c r="B5" s="3"/>
      <c r="C5" s="3"/>
      <c r="D5" s="3" t="s">
        <v>51</v>
      </c>
      <c r="E5" s="3" t="s">
        <v>50</v>
      </c>
      <c r="F5" s="3" t="s">
        <v>71</v>
      </c>
      <c r="G5" s="3" t="s">
        <v>71</v>
      </c>
      <c r="H5" s="3" t="s">
        <v>76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3" t="s">
        <v>44</v>
      </c>
    </row>
    <row r="6" spans="1:10" x14ac:dyDescent="0.6">
      <c r="A6" s="2" t="s">
        <v>68</v>
      </c>
      <c r="B6" s="3"/>
      <c r="C6" s="3"/>
      <c r="D6" s="3" t="s">
        <v>50</v>
      </c>
      <c r="E6" s="3" t="s">
        <v>50</v>
      </c>
      <c r="F6" s="3" t="s">
        <v>72</v>
      </c>
      <c r="G6" s="3" t="s">
        <v>73</v>
      </c>
      <c r="H6" s="3" t="s">
        <v>77</v>
      </c>
      <c r="I6" s="3" t="str" cm="1">
        <f t="array" ref="I6">IF(COUNTA(B6:H6)=0,"0 (0%)",SUMPRODUCT(LEN(B6:H6))&amp;" ("&amp;TEXT(SUMPRODUCT(LEN(B6:H6)-LEN(SUBSTITUTE(B6:H6,"W","")))/SUMPRODUCT(LEN(B6:H6)),"0%")&amp;")")</f>
        <v>6 (67%)</v>
      </c>
      <c r="J6" s="3" t="s">
        <v>30</v>
      </c>
    </row>
    <row r="7" spans="1:10" x14ac:dyDescent="0.6">
      <c r="A7" s="2" t="s">
        <v>9</v>
      </c>
      <c r="B7" s="3" t="s">
        <v>51</v>
      </c>
      <c r="C7" s="3" t="s">
        <v>51</v>
      </c>
      <c r="D7" s="3"/>
      <c r="E7" s="3" t="s">
        <v>51</v>
      </c>
      <c r="F7" s="3" t="s">
        <v>71</v>
      </c>
      <c r="G7" s="3"/>
      <c r="H7" s="3" t="s">
        <v>76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51</v>
      </c>
      <c r="C8" s="3"/>
      <c r="D8" s="3" t="s">
        <v>51</v>
      </c>
      <c r="E8" s="3"/>
      <c r="F8" s="3" t="s">
        <v>71</v>
      </c>
      <c r="G8" s="3" t="s">
        <v>73</v>
      </c>
      <c r="H8" s="3" t="s">
        <v>76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47</v>
      </c>
    </row>
    <row r="9" spans="1:10" x14ac:dyDescent="0.6">
      <c r="A9" s="2" t="s">
        <v>40</v>
      </c>
      <c r="B9" s="3"/>
      <c r="C9" s="3" t="s">
        <v>51</v>
      </c>
      <c r="D9" s="3" t="s">
        <v>51</v>
      </c>
      <c r="E9" s="3" t="s">
        <v>50</v>
      </c>
      <c r="F9" s="3"/>
      <c r="G9" s="3" t="s">
        <v>73</v>
      </c>
      <c r="H9" s="3" t="s">
        <v>77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58</v>
      </c>
      <c r="B10" s="3"/>
      <c r="C10" s="3" t="s">
        <v>51</v>
      </c>
      <c r="D10" s="3"/>
      <c r="E10" s="3" t="s">
        <v>51</v>
      </c>
      <c r="F10" s="3"/>
      <c r="G10" s="3" t="s">
        <v>73</v>
      </c>
      <c r="H10" s="3" t="s">
        <v>76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70</v>
      </c>
    </row>
    <row r="11" spans="1:10" x14ac:dyDescent="0.6">
      <c r="A11" s="2" t="s">
        <v>7</v>
      </c>
      <c r="B11" s="3"/>
      <c r="C11" s="3" t="s">
        <v>50</v>
      </c>
      <c r="D11" s="3"/>
      <c r="E11" s="3" t="s">
        <v>51</v>
      </c>
      <c r="F11" s="3"/>
      <c r="G11" s="3" t="s">
        <v>73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74</v>
      </c>
    </row>
    <row r="12" spans="1:10" x14ac:dyDescent="0.6">
      <c r="A12" s="8" t="s">
        <v>60</v>
      </c>
      <c r="B12" s="9" t="s">
        <v>51</v>
      </c>
      <c r="C12" s="9" t="s">
        <v>50</v>
      </c>
      <c r="D12" s="9"/>
      <c r="E12" s="9"/>
      <c r="F12" s="9"/>
      <c r="G12" s="9"/>
      <c r="H12" s="9"/>
      <c r="I12" s="9" t="str" cm="1">
        <f t="array" ref="I12">IF(COUNTA(B12:H12)=0,"0 (0%)",SUMPRODUCT(LEN(B12:H12))&amp;" ("&amp;TEXT(SUMPRODUCT(LEN(B12:H12)-LEN(SUBSTITUTE(B12:H12,"W","")))/SUMPRODUCT(LEN(B12:H12)),"0%")&amp;")")</f>
        <v>2 (50%)</v>
      </c>
      <c r="J12" s="9" t="s">
        <v>75</v>
      </c>
    </row>
    <row r="13" spans="1:10" x14ac:dyDescent="0.6">
      <c r="A13" s="8" t="s">
        <v>67</v>
      </c>
      <c r="B13" s="9"/>
      <c r="C13" s="9" t="s">
        <v>51</v>
      </c>
      <c r="D13" s="9" t="s">
        <v>50</v>
      </c>
      <c r="E13" s="9"/>
      <c r="F13" s="9"/>
      <c r="G13" s="9"/>
      <c r="H13" s="9"/>
      <c r="I13" s="9" t="str" cm="1">
        <f t="array" ref="I13">IF(COUNTA(B13:H13)=0,"0 (0%)",SUMPRODUCT(LEN(B13:H13))&amp;" ("&amp;TEXT(SUMPRODUCT(LEN(B13:H13)-LEN(SUBSTITUTE(B13:H13,"W","")))/SUMPRODUCT(LEN(B13:H13)),"0%")&amp;")")</f>
        <v>2 (50%)</v>
      </c>
      <c r="J13" s="9" t="s">
        <v>69</v>
      </c>
    </row>
    <row r="14" spans="1:10" x14ac:dyDescent="0.6">
      <c r="A14" s="8" t="s">
        <v>1</v>
      </c>
      <c r="B14" s="9"/>
      <c r="C14" s="9"/>
      <c r="D14" s="9"/>
      <c r="E14" s="9"/>
      <c r="F14" s="9"/>
      <c r="G14" s="9" t="s">
        <v>71</v>
      </c>
      <c r="H14" s="9" t="s">
        <v>77</v>
      </c>
      <c r="I14" s="9" t="str" cm="1">
        <f t="array" ref="I14">IF(COUNTA(B14:H14)=0,"0 (0%)",SUMPRODUCT(LEN(B14:H14))&amp;" ("&amp;TEXT(SUMPRODUCT(LEN(B14:H14)-LEN(SUBSTITUTE(B14:H14,"W","")))/SUMPRODUCT(LEN(B14:H14)),"0%")&amp;")")</f>
        <v>2 (50%)</v>
      </c>
      <c r="J14" s="9" t="s">
        <v>47</v>
      </c>
    </row>
    <row r="15" spans="1:10" x14ac:dyDescent="0.6">
      <c r="A15" s="8" t="s">
        <v>18</v>
      </c>
      <c r="B15" s="9"/>
      <c r="C15" s="9"/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0 (0%)</v>
      </c>
      <c r="J15" s="9" t="s">
        <v>75</v>
      </c>
    </row>
    <row r="16" spans="1:10" x14ac:dyDescent="0.6">
      <c r="A16" s="6" t="s">
        <v>5</v>
      </c>
      <c r="B16" s="7" t="s">
        <v>50</v>
      </c>
      <c r="C16" s="7" t="s">
        <v>50</v>
      </c>
      <c r="D16" s="7" t="s">
        <v>51</v>
      </c>
      <c r="E16" s="7" t="s">
        <v>50</v>
      </c>
      <c r="F16" s="7"/>
      <c r="G16" s="7"/>
      <c r="H16" s="7"/>
      <c r="I16" s="7" t="str" cm="1">
        <f t="array" ref="I16">IF(COUNTA(B16:H16)=0,"0 (0%)",SUMPRODUCT(LEN(B16:H16))&amp;" ("&amp;TEXT(SUMPRODUCT(LEN(B16:H16)-LEN(SUBSTITUTE(B16:H16,"W","")))/SUMPRODUCT(LEN(B16:H16)),"0%")&amp;")")</f>
        <v>4 (75%)</v>
      </c>
      <c r="J16" s="7"/>
    </row>
    <row r="17" spans="1:10" x14ac:dyDescent="0.6">
      <c r="A17" s="6" t="s">
        <v>15</v>
      </c>
      <c r="B17" s="7" t="s">
        <v>51</v>
      </c>
      <c r="C17" s="7"/>
      <c r="D17" s="7" t="s">
        <v>50</v>
      </c>
      <c r="E17" s="7"/>
      <c r="F17" s="7"/>
      <c r="G17" s="7" t="s">
        <v>73</v>
      </c>
      <c r="H17" s="7"/>
      <c r="I17" s="7" t="str" cm="1">
        <f t="array" ref="I17">IF(COUNTA(B17:H17)=0,"0 (0%)",SUMPRODUCT(LEN(B17:H17))&amp;" ("&amp;TEXT(SUMPRODUCT(LEN(B17:H17)-LEN(SUBSTITUTE(B17:H17,"W","")))/SUMPRODUCT(LEN(B17:H17)),"0%")&amp;")")</f>
        <v>3 (33%)</v>
      </c>
      <c r="J17" s="7"/>
    </row>
    <row r="18" spans="1:10" x14ac:dyDescent="0.6">
      <c r="A18" s="6" t="s">
        <v>54</v>
      </c>
      <c r="B18" s="7"/>
      <c r="C18" s="7"/>
      <c r="D18" s="7" t="s">
        <v>50</v>
      </c>
      <c r="E18" s="7"/>
      <c r="F18" s="7" t="s">
        <v>71</v>
      </c>
      <c r="G18" s="7"/>
      <c r="H18" s="7"/>
      <c r="I18" s="7" t="str" cm="1">
        <f t="array" ref="I18">IF(COUNTA(B18:H18)=0,"0 (0%)",SUMPRODUCT(LEN(B18:H18))&amp;" ("&amp;TEXT(SUMPRODUCT(LEN(B18:H18)-LEN(SUBSTITUTE(B18:H18,"W","")))/SUMPRODUCT(LEN(B18:H18)),"0%")&amp;")")</f>
        <v>2 (100%)</v>
      </c>
      <c r="J18" s="7"/>
    </row>
    <row r="19" spans="1:10" x14ac:dyDescent="0.6">
      <c r="A19" s="4" t="s">
        <v>59</v>
      </c>
      <c r="B19" s="5" t="s">
        <v>50</v>
      </c>
      <c r="C19" s="5" t="s">
        <v>50</v>
      </c>
      <c r="D19" s="5" t="s">
        <v>50</v>
      </c>
      <c r="E19" s="5" t="s">
        <v>51</v>
      </c>
      <c r="F19" s="5"/>
      <c r="G19" s="5" t="s">
        <v>71</v>
      </c>
      <c r="H19" s="5" t="s">
        <v>77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55</v>
      </c>
      <c r="B20" s="5" t="s">
        <v>52</v>
      </c>
      <c r="C20" s="5"/>
      <c r="D20" s="5"/>
      <c r="E20" s="5" t="s">
        <v>51</v>
      </c>
      <c r="F20" s="5" t="s">
        <v>72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211</v>
      </c>
    </row>
    <row r="21" spans="1:10" x14ac:dyDescent="0.6">
      <c r="A21" s="4" t="s">
        <v>2</v>
      </c>
      <c r="B21" s="5"/>
      <c r="C21" s="5"/>
      <c r="D21" s="5"/>
      <c r="E21" s="5"/>
      <c r="F21" s="5" t="s">
        <v>73</v>
      </c>
      <c r="G21" s="5" t="s">
        <v>73</v>
      </c>
      <c r="H21" s="5" t="s">
        <v>76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49</v>
      </c>
      <c r="B22" s="5" t="s">
        <v>50</v>
      </c>
      <c r="C22" s="5" t="s">
        <v>51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211</v>
      </c>
    </row>
    <row r="23" spans="1:10" x14ac:dyDescent="0.6">
      <c r="A23" s="4" t="s">
        <v>43</v>
      </c>
      <c r="B23" s="5"/>
      <c r="C23" s="5"/>
      <c r="D23" s="5"/>
      <c r="E23" s="5"/>
      <c r="F23" s="5" t="s">
        <v>71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95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53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108"/>
    <sortCondition sortBy="cellColor" ref="I2:I26" dxfId="107"/>
    <sortCondition sortBy="cellColor" ref="I2:I26" dxfId="106"/>
    <sortCondition sortBy="cellColor" ref="I2:I26" dxfId="105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J17" sqref="J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53</v>
      </c>
      <c r="J1" s="1" t="s">
        <v>20</v>
      </c>
    </row>
    <row r="2" spans="1:10" x14ac:dyDescent="0.6">
      <c r="A2" s="2" t="s">
        <v>40</v>
      </c>
      <c r="B2" s="3" t="s">
        <v>51</v>
      </c>
      <c r="C2" s="3" t="s">
        <v>51</v>
      </c>
      <c r="D2" s="3" t="s">
        <v>50</v>
      </c>
      <c r="E2" s="3" t="s">
        <v>50</v>
      </c>
      <c r="F2" s="3" t="s">
        <v>80</v>
      </c>
      <c r="G2" s="3" t="s">
        <v>80</v>
      </c>
      <c r="H2" s="3" t="s">
        <v>83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51</v>
      </c>
      <c r="C3" s="3" t="s">
        <v>51</v>
      </c>
      <c r="D3" s="3" t="s">
        <v>51</v>
      </c>
      <c r="E3" s="3" t="s">
        <v>50</v>
      </c>
      <c r="F3" s="3" t="s">
        <v>80</v>
      </c>
      <c r="G3" s="3" t="s">
        <v>79</v>
      </c>
      <c r="H3" s="3" t="s">
        <v>84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52</v>
      </c>
      <c r="C4" s="3" t="s">
        <v>52</v>
      </c>
      <c r="D4" s="3" t="s">
        <v>72</v>
      </c>
      <c r="E4" s="3" t="s">
        <v>51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51</v>
      </c>
      <c r="C5" s="3" t="s">
        <v>51</v>
      </c>
      <c r="D5" s="3" t="s">
        <v>50</v>
      </c>
      <c r="E5" s="3" t="s">
        <v>50</v>
      </c>
      <c r="F5" s="3" t="s">
        <v>81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45</v>
      </c>
    </row>
    <row r="6" spans="1:10" x14ac:dyDescent="0.6">
      <c r="A6" s="2" t="s">
        <v>78</v>
      </c>
      <c r="B6" s="3" t="s">
        <v>50</v>
      </c>
      <c r="C6" s="3"/>
      <c r="D6" s="3" t="s">
        <v>50</v>
      </c>
      <c r="E6" s="3" t="s">
        <v>51</v>
      </c>
      <c r="F6" s="3" t="s">
        <v>79</v>
      </c>
      <c r="G6" s="3" t="s">
        <v>79</v>
      </c>
      <c r="H6" s="3" t="s">
        <v>84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47</v>
      </c>
    </row>
    <row r="7" spans="1:10" x14ac:dyDescent="0.6">
      <c r="A7" s="2" t="s">
        <v>68</v>
      </c>
      <c r="B7" s="3"/>
      <c r="C7" s="3"/>
      <c r="D7" s="3" t="s">
        <v>51</v>
      </c>
      <c r="E7" s="3"/>
      <c r="F7" s="3"/>
      <c r="G7" s="3" t="s">
        <v>82</v>
      </c>
      <c r="H7" s="3" t="s">
        <v>85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50</v>
      </c>
      <c r="C8" s="3"/>
      <c r="D8" s="3" t="s">
        <v>50</v>
      </c>
      <c r="E8" s="3" t="s">
        <v>50</v>
      </c>
      <c r="F8" s="3" t="s">
        <v>79</v>
      </c>
      <c r="G8" s="3"/>
      <c r="H8" s="3" t="s">
        <v>83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74</v>
      </c>
    </row>
    <row r="9" spans="1:10" x14ac:dyDescent="0.6">
      <c r="A9" s="2" t="s">
        <v>18</v>
      </c>
      <c r="B9" s="3"/>
      <c r="C9" s="3"/>
      <c r="D9" s="3"/>
      <c r="E9" s="3"/>
      <c r="F9" s="3" t="s">
        <v>80</v>
      </c>
      <c r="G9" s="3" t="s">
        <v>81</v>
      </c>
      <c r="H9" s="3" t="s">
        <v>89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60</v>
      </c>
      <c r="B10" s="3"/>
      <c r="C10" s="3"/>
      <c r="D10" s="3" t="s">
        <v>51</v>
      </c>
      <c r="E10" s="3" t="s">
        <v>50</v>
      </c>
      <c r="F10" s="3" t="s">
        <v>79</v>
      </c>
      <c r="G10" s="3" t="s">
        <v>80</v>
      </c>
      <c r="H10" s="3" t="s">
        <v>83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58</v>
      </c>
      <c r="B11" s="3"/>
      <c r="C11" s="3" t="s">
        <v>51</v>
      </c>
      <c r="D11" s="3"/>
      <c r="E11" s="3" t="s">
        <v>51</v>
      </c>
      <c r="F11" s="3"/>
      <c r="G11" s="3" t="s">
        <v>79</v>
      </c>
      <c r="H11" s="3" t="s">
        <v>83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70</v>
      </c>
    </row>
    <row r="12" spans="1:10" x14ac:dyDescent="0.6">
      <c r="A12" s="6" t="s">
        <v>43</v>
      </c>
      <c r="B12" s="7" t="s">
        <v>51</v>
      </c>
      <c r="C12" s="7" t="s">
        <v>50</v>
      </c>
      <c r="D12" s="7" t="s">
        <v>51</v>
      </c>
      <c r="E12" s="7" t="s">
        <v>51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87</v>
      </c>
    </row>
    <row r="13" spans="1:10" x14ac:dyDescent="0.6">
      <c r="A13" s="6" t="s">
        <v>32</v>
      </c>
      <c r="B13" s="7"/>
      <c r="C13" s="7" t="s">
        <v>51</v>
      </c>
      <c r="D13" s="7" t="s">
        <v>50</v>
      </c>
      <c r="E13" s="7" t="s">
        <v>50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88</v>
      </c>
    </row>
    <row r="14" spans="1:10" x14ac:dyDescent="0.6">
      <c r="A14" s="6" t="s">
        <v>15</v>
      </c>
      <c r="B14" s="7"/>
      <c r="C14" s="7" t="s">
        <v>51</v>
      </c>
      <c r="D14" s="7"/>
      <c r="E14" s="7"/>
      <c r="F14" s="7" t="s">
        <v>79</v>
      </c>
      <c r="G14" s="7" t="s">
        <v>80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34</v>
      </c>
      <c r="B15" s="9" t="s">
        <v>50</v>
      </c>
      <c r="C15" s="9"/>
      <c r="D15" s="9"/>
      <c r="E15" s="9" t="s">
        <v>50</v>
      </c>
      <c r="F15" s="9"/>
      <c r="G15" s="9" t="s">
        <v>80</v>
      </c>
      <c r="H15" s="9" t="s">
        <v>83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44</v>
      </c>
    </row>
    <row r="16" spans="1:10" x14ac:dyDescent="0.6">
      <c r="A16" s="8" t="s">
        <v>9</v>
      </c>
      <c r="B16" s="9" t="s">
        <v>50</v>
      </c>
      <c r="C16" s="9" t="s">
        <v>50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86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210</v>
      </c>
    </row>
    <row r="18" spans="1:10" x14ac:dyDescent="0.6">
      <c r="A18" s="4" t="s">
        <v>2</v>
      </c>
      <c r="B18" s="5"/>
      <c r="C18" s="5" t="s">
        <v>51</v>
      </c>
      <c r="D18" s="5"/>
      <c r="E18" s="5"/>
      <c r="F18" s="5" t="s">
        <v>80</v>
      </c>
      <c r="G18" s="5"/>
      <c r="H18" s="5" t="s">
        <v>84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59</v>
      </c>
      <c r="B19" s="5" t="s">
        <v>51</v>
      </c>
      <c r="C19" s="5"/>
      <c r="D19" s="5" t="s">
        <v>51</v>
      </c>
      <c r="E19" s="5" t="s">
        <v>51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80</v>
      </c>
      <c r="G20" s="12" t="s">
        <v>79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67</v>
      </c>
      <c r="B21" s="5" t="s">
        <v>50</v>
      </c>
      <c r="C21" s="5" t="s">
        <v>50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80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53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104"/>
    <sortCondition sortBy="cellColor" ref="I2:I23" dxfId="103"/>
    <sortCondition sortBy="cellColor" ref="I2:I23" dxfId="102"/>
    <sortCondition sortBy="cellColor" ref="I2:I23" dxfId="101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7" sqref="A1:J2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53</v>
      </c>
      <c r="J1" s="1" t="s">
        <v>20</v>
      </c>
    </row>
    <row r="2" spans="1:10" x14ac:dyDescent="0.6">
      <c r="A2" s="2" t="s">
        <v>5</v>
      </c>
      <c r="B2" s="3" t="s">
        <v>52</v>
      </c>
      <c r="C2" s="3" t="s">
        <v>81</v>
      </c>
      <c r="D2" s="3" t="s">
        <v>51</v>
      </c>
      <c r="E2" s="3" t="s">
        <v>81</v>
      </c>
      <c r="F2" s="3" t="s">
        <v>50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68</v>
      </c>
      <c r="B3" s="3" t="s">
        <v>50</v>
      </c>
      <c r="C3" s="3"/>
      <c r="D3" s="3" t="s">
        <v>72</v>
      </c>
      <c r="E3" s="3"/>
      <c r="F3" s="3"/>
      <c r="G3" s="3" t="s">
        <v>101</v>
      </c>
      <c r="H3" s="3" t="s">
        <v>101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40</v>
      </c>
      <c r="B4" s="3" t="s">
        <v>50</v>
      </c>
      <c r="C4" s="3" t="s">
        <v>51</v>
      </c>
      <c r="D4" s="3" t="s">
        <v>50</v>
      </c>
      <c r="E4" s="3" t="s">
        <v>50</v>
      </c>
      <c r="F4" s="3" t="s">
        <v>51</v>
      </c>
      <c r="G4" s="3" t="s">
        <v>99</v>
      </c>
      <c r="H4" s="3" t="s">
        <v>100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60</v>
      </c>
      <c r="B5" s="3" t="s">
        <v>50</v>
      </c>
      <c r="C5" s="3" t="s">
        <v>51</v>
      </c>
      <c r="D5" s="3" t="s">
        <v>51</v>
      </c>
      <c r="E5" s="3" t="s">
        <v>50</v>
      </c>
      <c r="F5" s="3" t="s">
        <v>50</v>
      </c>
      <c r="G5" s="3" t="s">
        <v>100</v>
      </c>
      <c r="H5" s="3" t="s">
        <v>99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50</v>
      </c>
      <c r="C6" s="3" t="s">
        <v>50</v>
      </c>
      <c r="D6" s="3" t="s">
        <v>51</v>
      </c>
      <c r="E6" s="3" t="s">
        <v>51</v>
      </c>
      <c r="F6" s="3" t="s">
        <v>50</v>
      </c>
      <c r="G6" s="3" t="s">
        <v>99</v>
      </c>
      <c r="H6" s="3" t="s">
        <v>99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58</v>
      </c>
      <c r="B7" s="3"/>
      <c r="C7" s="3" t="s">
        <v>51</v>
      </c>
      <c r="D7" s="3"/>
      <c r="E7" s="3" t="s">
        <v>51</v>
      </c>
      <c r="F7" s="3"/>
      <c r="G7" s="3" t="s">
        <v>99</v>
      </c>
      <c r="H7" s="3" t="s">
        <v>100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70</v>
      </c>
    </row>
    <row r="8" spans="1:10" x14ac:dyDescent="0.6">
      <c r="A8" s="2" t="s">
        <v>7</v>
      </c>
      <c r="B8" s="3"/>
      <c r="C8" s="3" t="s">
        <v>51</v>
      </c>
      <c r="D8" s="3"/>
      <c r="E8" s="3" t="s">
        <v>51</v>
      </c>
      <c r="F8" s="3"/>
      <c r="G8" s="3" t="s">
        <v>99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74</v>
      </c>
    </row>
    <row r="9" spans="1:10" x14ac:dyDescent="0.6">
      <c r="A9" s="8" t="s">
        <v>96</v>
      </c>
      <c r="B9" s="9" t="s">
        <v>51</v>
      </c>
      <c r="C9" s="9"/>
      <c r="D9" s="9" t="s">
        <v>51</v>
      </c>
      <c r="E9" s="9"/>
      <c r="F9" s="9" t="s">
        <v>51</v>
      </c>
      <c r="G9" s="9" t="s">
        <v>100</v>
      </c>
      <c r="H9" s="9" t="s">
        <v>100</v>
      </c>
      <c r="I9" s="9" t="str" cm="1">
        <f t="array" ref="I9">IF(COUNTA(B9:H9)=0,"0 (0%)",SUMPRODUCT(LEN(B9:H9))&amp;" ("&amp;TEXT(SUMPRODUCT(LEN(B9:H9)-LEN(SUBSTITUTE(B9:H9,"W","")))/SUMPRODUCT(LEN(B9:H9)),"0%")&amp;")")</f>
        <v>5 (40%)</v>
      </c>
      <c r="J9" s="9" t="s">
        <v>97</v>
      </c>
    </row>
    <row r="10" spans="1:10" x14ac:dyDescent="0.6">
      <c r="A10" s="8" t="s">
        <v>34</v>
      </c>
      <c r="B10" s="9" t="s">
        <v>51</v>
      </c>
      <c r="C10" s="9"/>
      <c r="D10" s="9"/>
      <c r="E10" s="9" t="s">
        <v>51</v>
      </c>
      <c r="F10" s="9" t="s">
        <v>50</v>
      </c>
      <c r="G10" s="9" t="s">
        <v>100</v>
      </c>
      <c r="H10" s="9"/>
      <c r="I10" s="9" t="str" cm="1">
        <f t="array" ref="I10">IF(COUNTA(B10:H10)=0,"0 (0%)",SUMPRODUCT(LEN(B10:H10))&amp;" ("&amp;TEXT(SUMPRODUCT(LEN(B10:H10)-LEN(SUBSTITUTE(B10:H10,"W","")))/SUMPRODUCT(LEN(B10:H10)),"0%")&amp;")")</f>
        <v>4 (50%)</v>
      </c>
      <c r="J10" s="9" t="s">
        <v>44</v>
      </c>
    </row>
    <row r="11" spans="1:10" x14ac:dyDescent="0.6">
      <c r="A11" s="8" t="s">
        <v>9</v>
      </c>
      <c r="B11" s="9"/>
      <c r="C11" s="9"/>
      <c r="D11" s="9"/>
      <c r="E11" s="9" t="s">
        <v>50</v>
      </c>
      <c r="F11" s="9" t="s">
        <v>51</v>
      </c>
      <c r="G11" s="9"/>
      <c r="H11" s="9" t="s">
        <v>99</v>
      </c>
      <c r="I11" s="9" t="str" cm="1">
        <f t="array" ref="I11">IF(COUNTA(B11:H11)=0,"0 (0%)",SUMPRODUCT(LEN(B11:H11))&amp;" ("&amp;TEXT(SUMPRODUCT(LEN(B11:H11)-LEN(SUBSTITUTE(B11:H11,"W","")))/SUMPRODUCT(LEN(B11:H11)),"0%")&amp;")")</f>
        <v>3 (33%)</v>
      </c>
      <c r="J11" s="9" t="s">
        <v>86</v>
      </c>
    </row>
    <row r="12" spans="1:10" x14ac:dyDescent="0.6">
      <c r="A12" s="8" t="s">
        <v>1</v>
      </c>
      <c r="B12" s="9"/>
      <c r="C12" s="9"/>
      <c r="D12" s="9" t="s">
        <v>51</v>
      </c>
      <c r="E12" s="9"/>
      <c r="F12" s="9"/>
      <c r="G12" s="9"/>
      <c r="H12" s="9"/>
      <c r="I12" s="9" t="str" cm="1">
        <f t="array" ref="I12">IF(COUNTA(B12:H12)=0,"0 (0%)",SUMPRODUCT(LEN(B12:H12))&amp;" ("&amp;TEXT(SUMPRODUCT(LEN(B12:H12)-LEN(SUBSTITUTE(B12:H12,"W","")))/SUMPRODUCT(LEN(B12:H12)),"0%")&amp;")")</f>
        <v>1 (0%)</v>
      </c>
      <c r="J12" s="9" t="s">
        <v>98</v>
      </c>
    </row>
    <row r="13" spans="1:10" x14ac:dyDescent="0.6">
      <c r="A13" s="15" t="s">
        <v>43</v>
      </c>
      <c r="B13" s="16" t="s">
        <v>50</v>
      </c>
      <c r="C13" s="16" t="s">
        <v>51</v>
      </c>
      <c r="D13" s="16" t="s">
        <v>51</v>
      </c>
      <c r="E13" s="16"/>
      <c r="F13" s="16" t="s">
        <v>51</v>
      </c>
      <c r="G13" s="16"/>
      <c r="H13" s="16"/>
      <c r="I13" s="16" t="str" cm="1">
        <f t="array" ref="I13">IF(COUNTA(B13:H13)=0,"0 (0%)",SUMPRODUCT(LEN(B13:H13))&amp;" ("&amp;TEXT(SUMPRODUCT(LEN(B13:H13)-LEN(SUBSTITUTE(B13:H13,"W","")))/SUMPRODUCT(LEN(B13:H13)),"0%")&amp;")")</f>
        <v>4 (25%)</v>
      </c>
      <c r="J13" s="16"/>
    </row>
    <row r="14" spans="1:10" x14ac:dyDescent="0.6">
      <c r="A14" s="6" t="s">
        <v>18</v>
      </c>
      <c r="B14" s="7"/>
      <c r="C14" s="7"/>
      <c r="D14" s="7"/>
      <c r="E14" s="7" t="s">
        <v>50</v>
      </c>
      <c r="F14" s="7"/>
      <c r="G14" s="7" t="s">
        <v>102</v>
      </c>
      <c r="H14" s="7" t="s">
        <v>99</v>
      </c>
      <c r="I14" s="7" t="str" cm="1">
        <f t="array" ref="I14">IF(COUNTA(B14:H14)=0,"0 (0%)",SUMPRODUCT(LEN(B14:H14))&amp;" ("&amp;TEXT(SUMPRODUCT(LEN(B14:H14)-LEN(SUBSTITUTE(B14:H14,"W","")))/SUMPRODUCT(LEN(B14:H14)),"0%")&amp;")")</f>
        <v>4 (25%)</v>
      </c>
      <c r="J14" s="7"/>
    </row>
    <row r="15" spans="1:10" x14ac:dyDescent="0.6">
      <c r="A15" s="6" t="s">
        <v>19</v>
      </c>
      <c r="B15" s="7"/>
      <c r="C15" s="7" t="s">
        <v>51</v>
      </c>
      <c r="D15" s="7" t="s">
        <v>51</v>
      </c>
      <c r="E15" s="7"/>
      <c r="F15" s="7"/>
      <c r="G15" s="7"/>
      <c r="H15" s="7" t="s">
        <v>99</v>
      </c>
      <c r="I15" s="7" t="str" cm="1">
        <f t="array" ref="I15">IF(COUNTA(B15:H15)=0,"0 (0%)",SUMPRODUCT(LEN(B15:H15))&amp;" ("&amp;TEXT(SUMPRODUCT(LEN(B15:H15)-LEN(SUBSTITUTE(B15:H15,"W","")))/SUMPRODUCT(LEN(B15:H15)),"0%")&amp;")")</f>
        <v>3 (0%)</v>
      </c>
      <c r="J15" s="10" t="s">
        <v>103</v>
      </c>
    </row>
    <row r="16" spans="1:10" x14ac:dyDescent="0.6">
      <c r="A16" s="6" t="s">
        <v>32</v>
      </c>
      <c r="B16" s="7"/>
      <c r="C16" s="7" t="s">
        <v>50</v>
      </c>
      <c r="D16" s="7"/>
      <c r="E16" s="7"/>
      <c r="F16" s="7"/>
      <c r="G16" s="7"/>
      <c r="H16" s="7"/>
      <c r="I16" s="7" t="str" cm="1">
        <f t="array" ref="I16">IF(COUNTA(B16:H16)=0,"0 (0%)",SUMPRODUCT(LEN(B16:H16))&amp;" ("&amp;TEXT(SUMPRODUCT(LEN(B16:H16)-LEN(SUBSTITUTE(B16:H16,"W","")))/SUMPRODUCT(LEN(B16:H16)),"0%")&amp;")")</f>
        <v>1 (100%)</v>
      </c>
      <c r="J16" s="7"/>
    </row>
    <row r="17" spans="1:10" x14ac:dyDescent="0.6">
      <c r="A17" s="6" t="s">
        <v>93</v>
      </c>
      <c r="B17" s="7"/>
      <c r="C17" s="7"/>
      <c r="D17" s="7"/>
      <c r="E17" s="7"/>
      <c r="F17" s="7" t="s">
        <v>50</v>
      </c>
      <c r="G17" s="7"/>
      <c r="H17" s="7"/>
      <c r="I17" s="7" t="str" cm="1">
        <f t="array" ref="I17">IF(COUNTA(B17:H17)=0,"0 (0%)",SUMPRODUCT(LEN(B17:H17))&amp;" ("&amp;TEXT(SUMPRODUCT(LEN(B17:H17)-LEN(SUBSTITUTE(B17:H17,"W","")))/SUMPRODUCT(LEN(B17:H17)),"0%")&amp;")")</f>
        <v>1 (100%)</v>
      </c>
      <c r="J17" s="7" t="s">
        <v>94</v>
      </c>
    </row>
    <row r="18" spans="1:10" x14ac:dyDescent="0.6">
      <c r="A18" s="6" t="s">
        <v>92</v>
      </c>
      <c r="B18" s="7"/>
      <c r="C18" s="7"/>
      <c r="D18" s="7"/>
      <c r="E18" s="7" t="s">
        <v>51</v>
      </c>
      <c r="F18" s="7"/>
      <c r="G18" s="7"/>
      <c r="H18" s="7"/>
      <c r="I18" s="7" t="str" cm="1">
        <f t="array" ref="I18">IF(COUNTA(B18:H18)=0,"0 (0%)",SUMPRODUCT(LEN(B18:H18))&amp;" ("&amp;TEXT(SUMPRODUCT(LEN(B18:H18)-LEN(SUBSTITUTE(B18:H18,"W","")))/SUMPRODUCT(LEN(B18:H18)),"0%")&amp;")")</f>
        <v>1 (0%)</v>
      </c>
      <c r="J18" s="7" t="s">
        <v>21</v>
      </c>
    </row>
    <row r="19" spans="1:10" x14ac:dyDescent="0.6">
      <c r="A19" s="4" t="s">
        <v>2</v>
      </c>
      <c r="B19" s="5"/>
      <c r="C19" s="5" t="s">
        <v>50</v>
      </c>
      <c r="D19" s="5" t="s">
        <v>51</v>
      </c>
      <c r="E19" s="5"/>
      <c r="F19" s="5" t="s">
        <v>81</v>
      </c>
      <c r="G19" s="5" t="s">
        <v>100</v>
      </c>
      <c r="H19" s="5" t="s">
        <v>99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67</v>
      </c>
      <c r="B20" s="5"/>
      <c r="C20" s="5"/>
      <c r="D20" s="5" t="s">
        <v>50</v>
      </c>
      <c r="E20" s="5"/>
      <c r="F20" s="5" t="s">
        <v>50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91</v>
      </c>
      <c r="B21" s="5" t="s">
        <v>51</v>
      </c>
      <c r="C21" s="5"/>
      <c r="D21" s="5"/>
      <c r="E21" s="5"/>
      <c r="F21" s="5"/>
      <c r="G21" s="5"/>
      <c r="H21" s="5" t="s">
        <v>99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95</v>
      </c>
    </row>
    <row r="22" spans="1:10" x14ac:dyDescent="0.6">
      <c r="A22" s="4" t="s">
        <v>0</v>
      </c>
      <c r="B22" s="5" t="s">
        <v>50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90</v>
      </c>
      <c r="B23" s="5" t="s">
        <v>51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95</v>
      </c>
    </row>
    <row r="24" spans="1:10" x14ac:dyDescent="0.6">
      <c r="A24" s="4" t="s">
        <v>59</v>
      </c>
      <c r="B24" s="5"/>
      <c r="C24" s="5" t="s">
        <v>51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53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100"/>
    <sortCondition sortBy="cellColor" ref="I2:I26" dxfId="99"/>
    <sortCondition sortBy="cellColor" ref="I2:I26" dxfId="98"/>
    <sortCondition sortBy="cellColor" ref="I2:I26" dxfId="97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2" sqref="A2:J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104</v>
      </c>
      <c r="C1" s="10" t="s">
        <v>105</v>
      </c>
      <c r="D1" s="10" t="s">
        <v>106</v>
      </c>
      <c r="E1" s="13" t="s">
        <v>107</v>
      </c>
      <c r="F1" s="13" t="s">
        <v>108</v>
      </c>
      <c r="G1" s="13" t="s">
        <v>109</v>
      </c>
      <c r="H1" s="13" t="s">
        <v>110</v>
      </c>
      <c r="I1" s="1" t="s">
        <v>53</v>
      </c>
      <c r="J1" s="1" t="s">
        <v>20</v>
      </c>
    </row>
    <row r="2" spans="1:10" x14ac:dyDescent="0.6">
      <c r="A2" s="2" t="s">
        <v>12</v>
      </c>
      <c r="B2" s="3" t="s">
        <v>51</v>
      </c>
      <c r="C2" s="3" t="s">
        <v>51</v>
      </c>
      <c r="D2" s="3" t="s">
        <v>50</v>
      </c>
      <c r="E2" s="3" t="s">
        <v>50</v>
      </c>
      <c r="F2" s="3" t="s">
        <v>50</v>
      </c>
      <c r="G2" s="3" t="s">
        <v>112</v>
      </c>
      <c r="H2" s="3" t="s">
        <v>120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60</v>
      </c>
      <c r="B3" s="3" t="s">
        <v>51</v>
      </c>
      <c r="C3" s="3" t="s">
        <v>51</v>
      </c>
      <c r="D3" s="3" t="s">
        <v>50</v>
      </c>
      <c r="E3" s="3" t="s">
        <v>50</v>
      </c>
      <c r="F3" s="3" t="s">
        <v>112</v>
      </c>
      <c r="G3" s="3" t="s">
        <v>113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51</v>
      </c>
      <c r="D4" s="3"/>
      <c r="E4" s="3" t="s">
        <v>51</v>
      </c>
      <c r="F4" s="3"/>
      <c r="G4" s="3" t="s">
        <v>116</v>
      </c>
      <c r="H4" s="3" t="s">
        <v>121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111</v>
      </c>
    </row>
    <row r="5" spans="1:10" x14ac:dyDescent="0.6">
      <c r="A5" s="2" t="s">
        <v>5</v>
      </c>
      <c r="B5" s="3" t="s">
        <v>51</v>
      </c>
      <c r="C5" s="3" t="s">
        <v>81</v>
      </c>
      <c r="D5" s="3" t="s">
        <v>81</v>
      </c>
      <c r="E5" s="3" t="s">
        <v>51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40</v>
      </c>
      <c r="B6" s="3" t="s">
        <v>51</v>
      </c>
      <c r="C6" s="3" t="s">
        <v>51</v>
      </c>
      <c r="D6" s="3"/>
      <c r="E6" s="3" t="s">
        <v>51</v>
      </c>
      <c r="F6" s="3" t="s">
        <v>112</v>
      </c>
      <c r="G6" s="3" t="s">
        <v>113</v>
      </c>
      <c r="H6" s="3" t="s">
        <v>120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68</v>
      </c>
      <c r="B7" s="3" t="s">
        <v>50</v>
      </c>
      <c r="C7" s="3"/>
      <c r="D7" s="3" t="s">
        <v>81</v>
      </c>
      <c r="E7" s="3"/>
      <c r="F7" s="3"/>
      <c r="G7" s="3" t="s">
        <v>112</v>
      </c>
      <c r="H7" s="3" t="s">
        <v>120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51</v>
      </c>
      <c r="C8" s="3" t="s">
        <v>50</v>
      </c>
      <c r="D8" s="3"/>
      <c r="E8" s="3" t="s">
        <v>50</v>
      </c>
      <c r="F8" s="3" t="s">
        <v>112</v>
      </c>
      <c r="G8" s="3" t="s">
        <v>112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50</v>
      </c>
      <c r="C9" s="3"/>
      <c r="D9" s="3" t="s">
        <v>51</v>
      </c>
      <c r="E9" s="3" t="s">
        <v>51</v>
      </c>
      <c r="F9" s="3" t="s">
        <v>113</v>
      </c>
      <c r="G9" s="3"/>
      <c r="H9" s="3" t="s">
        <v>119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50</v>
      </c>
      <c r="C10" s="3"/>
      <c r="D10" s="3" t="s">
        <v>50</v>
      </c>
      <c r="E10" s="3"/>
      <c r="F10" s="3" t="s">
        <v>50</v>
      </c>
      <c r="G10" s="3"/>
      <c r="H10" s="3" t="s">
        <v>119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74</v>
      </c>
    </row>
    <row r="11" spans="1:10" x14ac:dyDescent="0.6">
      <c r="A11" s="2" t="s">
        <v>58</v>
      </c>
      <c r="B11" s="3"/>
      <c r="C11" s="3" t="s">
        <v>51</v>
      </c>
      <c r="D11" s="3"/>
      <c r="E11" s="3" t="s">
        <v>51</v>
      </c>
      <c r="F11" s="3"/>
      <c r="G11" s="3" t="s">
        <v>112</v>
      </c>
      <c r="H11" s="3" t="s">
        <v>120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70</v>
      </c>
    </row>
    <row r="12" spans="1:10" x14ac:dyDescent="0.6">
      <c r="A12" s="15" t="s">
        <v>43</v>
      </c>
      <c r="B12" s="16" t="s">
        <v>51</v>
      </c>
      <c r="C12" s="16"/>
      <c r="D12" s="16" t="s">
        <v>50</v>
      </c>
      <c r="E12" s="16" t="s">
        <v>50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50</v>
      </c>
      <c r="C13" s="7"/>
      <c r="D13" s="7"/>
      <c r="E13" s="7"/>
      <c r="F13" s="7" t="s">
        <v>112</v>
      </c>
      <c r="G13" s="7"/>
      <c r="H13" s="7" t="s">
        <v>119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96</v>
      </c>
      <c r="B14" s="9"/>
      <c r="C14" s="9" t="s">
        <v>51</v>
      </c>
      <c r="D14" s="9" t="s">
        <v>51</v>
      </c>
      <c r="E14" s="9" t="s">
        <v>51</v>
      </c>
      <c r="F14" s="9"/>
      <c r="G14" s="9"/>
      <c r="H14" s="9" t="s">
        <v>120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47</v>
      </c>
    </row>
    <row r="15" spans="1:10" x14ac:dyDescent="0.6">
      <c r="A15" s="8" t="s">
        <v>34</v>
      </c>
      <c r="B15" s="9"/>
      <c r="C15" s="9" t="s">
        <v>51</v>
      </c>
      <c r="D15" s="9"/>
      <c r="E15" s="9"/>
      <c r="F15" s="9" t="s">
        <v>113</v>
      </c>
      <c r="G15" s="9" t="s">
        <v>112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117</v>
      </c>
      <c r="B16" s="9"/>
      <c r="C16" s="9"/>
      <c r="D16" s="9"/>
      <c r="E16" s="9"/>
      <c r="F16" s="9"/>
      <c r="G16" s="9" t="s">
        <v>112</v>
      </c>
      <c r="H16" s="9" t="s">
        <v>119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115</v>
      </c>
    </row>
    <row r="17" spans="1:10" x14ac:dyDescent="0.6">
      <c r="A17" s="8" t="s">
        <v>114</v>
      </c>
      <c r="B17" s="9"/>
      <c r="C17" s="9"/>
      <c r="D17" s="9"/>
      <c r="E17" s="9"/>
      <c r="F17" s="9"/>
      <c r="G17" s="9" t="s">
        <v>113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115</v>
      </c>
    </row>
    <row r="18" spans="1:10" x14ac:dyDescent="0.6">
      <c r="A18" s="4" t="s">
        <v>2</v>
      </c>
      <c r="B18" s="5"/>
      <c r="C18" s="5" t="s">
        <v>50</v>
      </c>
      <c r="D18" s="5" t="s">
        <v>51</v>
      </c>
      <c r="E18" s="5" t="s">
        <v>50</v>
      </c>
      <c r="F18" s="5" t="s">
        <v>112</v>
      </c>
      <c r="G18" s="5" t="s">
        <v>113</v>
      </c>
      <c r="H18" s="5" t="s">
        <v>120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91</v>
      </c>
      <c r="B19" s="5" t="s">
        <v>50</v>
      </c>
      <c r="C19" s="5"/>
      <c r="D19" s="5"/>
      <c r="E19" s="5" t="s">
        <v>51</v>
      </c>
      <c r="F19" s="5" t="s">
        <v>112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95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118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67</v>
      </c>
      <c r="B21" s="5" t="s">
        <v>51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90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95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53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4"/>
    <sortCondition sortBy="cellColor" ref="I2:I25" dxfId="33"/>
    <sortCondition sortBy="cellColor" ref="I2:I25" dxfId="32"/>
    <sortCondition sortBy="cellColor" ref="I2:I25" dxfId="31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A2" sqref="A2:K22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122</v>
      </c>
      <c r="C1" s="13" t="s">
        <v>123</v>
      </c>
      <c r="D1" s="13" t="s">
        <v>124</v>
      </c>
      <c r="E1" s="13" t="s">
        <v>125</v>
      </c>
      <c r="F1" s="13" t="s">
        <v>126</v>
      </c>
      <c r="G1" s="13" t="s">
        <v>127</v>
      </c>
      <c r="H1" s="13" t="s">
        <v>128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19</v>
      </c>
      <c r="B2" s="3" t="s">
        <v>72</v>
      </c>
      <c r="C2" s="3" t="s">
        <v>50</v>
      </c>
      <c r="D2" s="3" t="s">
        <v>52</v>
      </c>
      <c r="E2" s="3" t="s">
        <v>50</v>
      </c>
      <c r="F2" s="3" t="s">
        <v>50</v>
      </c>
      <c r="G2" s="3"/>
      <c r="H2" s="3" t="s">
        <v>135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137</v>
      </c>
    </row>
    <row r="3" spans="1:11" x14ac:dyDescent="0.6">
      <c r="A3" s="23" t="s">
        <v>12</v>
      </c>
      <c r="B3" s="3" t="s">
        <v>50</v>
      </c>
      <c r="C3" s="3" t="s">
        <v>50</v>
      </c>
      <c r="D3" s="3" t="s">
        <v>50</v>
      </c>
      <c r="E3" s="3" t="s">
        <v>51</v>
      </c>
      <c r="F3" s="3" t="s">
        <v>50</v>
      </c>
      <c r="G3" s="3" t="s">
        <v>50</v>
      </c>
      <c r="H3" s="3" t="s">
        <v>136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96</v>
      </c>
      <c r="B4" s="3" t="s">
        <v>51</v>
      </c>
      <c r="C4" s="3" t="s">
        <v>50</v>
      </c>
      <c r="D4" s="3" t="s">
        <v>51</v>
      </c>
      <c r="E4" s="3" t="s">
        <v>50</v>
      </c>
      <c r="F4" s="3" t="s">
        <v>50</v>
      </c>
      <c r="G4" s="3" t="s">
        <v>51</v>
      </c>
      <c r="H4" s="3" t="s">
        <v>136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47</v>
      </c>
    </row>
    <row r="5" spans="1:11" x14ac:dyDescent="0.6">
      <c r="A5" s="23" t="s">
        <v>60</v>
      </c>
      <c r="B5" s="3" t="s">
        <v>51</v>
      </c>
      <c r="C5" s="3" t="s">
        <v>50</v>
      </c>
      <c r="D5" s="3" t="s">
        <v>50</v>
      </c>
      <c r="E5" s="3"/>
      <c r="F5" s="3" t="s">
        <v>50</v>
      </c>
      <c r="G5" s="3" t="s">
        <v>50</v>
      </c>
      <c r="H5" s="3" t="s">
        <v>136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50</v>
      </c>
      <c r="C6" s="3" t="s">
        <v>51</v>
      </c>
      <c r="D6" s="3" t="s">
        <v>50</v>
      </c>
      <c r="E6" s="3" t="s">
        <v>52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43</v>
      </c>
      <c r="B7" s="21" t="s">
        <v>50</v>
      </c>
      <c r="C7" s="21" t="s">
        <v>51</v>
      </c>
      <c r="D7" s="21" t="s">
        <v>50</v>
      </c>
      <c r="E7" s="21" t="s">
        <v>51</v>
      </c>
      <c r="F7" s="21"/>
      <c r="G7" s="21"/>
      <c r="H7" s="21" t="s">
        <v>135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51</v>
      </c>
      <c r="D8" s="3" t="s">
        <v>51</v>
      </c>
      <c r="E8" s="3" t="s">
        <v>50</v>
      </c>
      <c r="F8" s="3" t="s">
        <v>51</v>
      </c>
      <c r="G8" s="3"/>
      <c r="H8" s="3" t="s">
        <v>135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51</v>
      </c>
      <c r="D9" s="3"/>
      <c r="E9" s="3" t="s">
        <v>51</v>
      </c>
      <c r="F9" s="3"/>
      <c r="G9" s="3" t="s">
        <v>50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74</v>
      </c>
    </row>
    <row r="10" spans="1:11" x14ac:dyDescent="0.6">
      <c r="A10" s="25" t="s">
        <v>141</v>
      </c>
      <c r="B10" s="7" t="s">
        <v>50</v>
      </c>
      <c r="C10" s="7"/>
      <c r="D10" s="7" t="s">
        <v>51</v>
      </c>
      <c r="E10" s="7"/>
      <c r="F10" s="7" t="s">
        <v>50</v>
      </c>
      <c r="G10" s="7" t="s">
        <v>51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40</v>
      </c>
      <c r="B11" s="7" t="s">
        <v>50</v>
      </c>
      <c r="C11" s="7"/>
      <c r="D11" s="7"/>
      <c r="E11" s="7"/>
      <c r="F11" s="7" t="s">
        <v>50</v>
      </c>
      <c r="G11" s="7" t="s">
        <v>51</v>
      </c>
      <c r="H11" s="7" t="s">
        <v>135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117</v>
      </c>
      <c r="B12" s="7"/>
      <c r="C12" s="7"/>
      <c r="D12" s="7" t="s">
        <v>50</v>
      </c>
      <c r="E12" s="7"/>
      <c r="F12" s="7" t="s">
        <v>51</v>
      </c>
      <c r="G12" s="7" t="s">
        <v>51</v>
      </c>
      <c r="H12" s="7" t="s">
        <v>135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51</v>
      </c>
      <c r="G13" s="7" t="s">
        <v>51</v>
      </c>
      <c r="H13" s="7" t="s">
        <v>135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34</v>
      </c>
      <c r="B14" s="9" t="s">
        <v>50</v>
      </c>
      <c r="C14" s="9"/>
      <c r="D14" s="9" t="s">
        <v>51</v>
      </c>
      <c r="E14" s="9"/>
      <c r="F14" s="9"/>
      <c r="G14" s="9" t="s">
        <v>50</v>
      </c>
      <c r="H14" s="9" t="s">
        <v>135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44</v>
      </c>
    </row>
    <row r="15" spans="1:11" x14ac:dyDescent="0.6">
      <c r="A15" s="24" t="s">
        <v>18</v>
      </c>
      <c r="B15" s="9"/>
      <c r="C15" s="9" t="s">
        <v>51</v>
      </c>
      <c r="D15" s="9"/>
      <c r="E15" s="9" t="s">
        <v>50</v>
      </c>
      <c r="F15" s="9"/>
      <c r="G15" s="9" t="s">
        <v>50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111</v>
      </c>
    </row>
    <row r="16" spans="1:11" x14ac:dyDescent="0.6">
      <c r="A16" s="24" t="s">
        <v>58</v>
      </c>
      <c r="B16" s="9"/>
      <c r="C16" s="9" t="s">
        <v>50</v>
      </c>
      <c r="D16" s="9"/>
      <c r="E16" s="9"/>
      <c r="F16" s="9"/>
      <c r="G16" s="9" t="s">
        <v>51</v>
      </c>
      <c r="H16" s="9" t="s">
        <v>136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134</v>
      </c>
    </row>
    <row r="17" spans="1:11" x14ac:dyDescent="0.6">
      <c r="A17" s="24" t="s">
        <v>129</v>
      </c>
      <c r="B17" s="9"/>
      <c r="C17" s="9"/>
      <c r="D17" s="9"/>
      <c r="E17" s="9" t="s">
        <v>50</v>
      </c>
      <c r="F17" s="9" t="s">
        <v>50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139</v>
      </c>
      <c r="K17" s="9" t="s">
        <v>130</v>
      </c>
    </row>
    <row r="18" spans="1:11" x14ac:dyDescent="0.6">
      <c r="A18" s="26" t="s">
        <v>2</v>
      </c>
      <c r="B18" s="5" t="s">
        <v>50</v>
      </c>
      <c r="C18" s="5" t="s">
        <v>51</v>
      </c>
      <c r="D18" s="5"/>
      <c r="E18" s="5" t="s">
        <v>51</v>
      </c>
      <c r="F18" s="5" t="s">
        <v>50</v>
      </c>
      <c r="G18" s="5" t="s">
        <v>50</v>
      </c>
      <c r="H18" s="5" t="s">
        <v>136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133</v>
      </c>
    </row>
    <row r="19" spans="1:11" x14ac:dyDescent="0.6">
      <c r="A19" s="26" t="s">
        <v>91</v>
      </c>
      <c r="B19" s="5" t="s">
        <v>51</v>
      </c>
      <c r="C19" s="5" t="s">
        <v>51</v>
      </c>
      <c r="D19" s="5"/>
      <c r="E19" s="5"/>
      <c r="F19" s="5" t="s">
        <v>50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95</v>
      </c>
    </row>
    <row r="20" spans="1:11" x14ac:dyDescent="0.6">
      <c r="A20" s="26" t="s">
        <v>3</v>
      </c>
      <c r="B20" s="12"/>
      <c r="C20" s="12"/>
      <c r="D20" s="12" t="s">
        <v>50</v>
      </c>
      <c r="E20" s="12" t="s">
        <v>51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132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131</v>
      </c>
    </row>
    <row r="22" spans="1:11" x14ac:dyDescent="0.6">
      <c r="A22" s="26" t="s">
        <v>90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95</v>
      </c>
    </row>
    <row r="23" spans="1:11" x14ac:dyDescent="0.6">
      <c r="A23" s="14" t="s">
        <v>53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140</v>
      </c>
      <c r="K23" s="1"/>
    </row>
  </sheetData>
  <sortState xmlns:xlrd2="http://schemas.microsoft.com/office/spreadsheetml/2017/richdata2" ref="A2:K22">
    <sortCondition sortBy="cellColor" ref="I2:I22" dxfId="21"/>
    <sortCondition sortBy="cellColor" ref="I2:I22" dxfId="20"/>
    <sortCondition sortBy="cellColor" ref="I2:I22" dxfId="19"/>
    <sortCondition sortBy="cellColor" ref="I2:I22" dxfId="18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142</v>
      </c>
      <c r="C1" s="10" t="s">
        <v>143</v>
      </c>
      <c r="D1" s="13" t="s">
        <v>144</v>
      </c>
      <c r="E1" s="13" t="s">
        <v>145</v>
      </c>
      <c r="F1" s="13" t="s">
        <v>146</v>
      </c>
      <c r="G1" s="13" t="s">
        <v>147</v>
      </c>
      <c r="H1" s="10" t="s">
        <v>148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96</v>
      </c>
      <c r="B2" s="3" t="s">
        <v>50</v>
      </c>
      <c r="C2" s="3" t="s">
        <v>81</v>
      </c>
      <c r="D2" s="3" t="s">
        <v>81</v>
      </c>
      <c r="E2" s="3"/>
      <c r="F2" s="3" t="s">
        <v>51</v>
      </c>
      <c r="G2" s="3" t="s">
        <v>51</v>
      </c>
      <c r="H2" s="3" t="s">
        <v>50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153</v>
      </c>
      <c r="K2" s="3" t="s">
        <v>47</v>
      </c>
    </row>
    <row r="3" spans="1:11" x14ac:dyDescent="0.6">
      <c r="A3" s="23" t="s">
        <v>40</v>
      </c>
      <c r="B3" s="3" t="s">
        <v>51</v>
      </c>
      <c r="C3" s="3" t="s">
        <v>50</v>
      </c>
      <c r="D3" s="3" t="s">
        <v>50</v>
      </c>
      <c r="E3" s="3"/>
      <c r="F3" s="3" t="s">
        <v>50</v>
      </c>
      <c r="G3" s="3" t="s">
        <v>51</v>
      </c>
      <c r="H3" s="3" t="s">
        <v>51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158</v>
      </c>
      <c r="K3" s="3"/>
    </row>
    <row r="4" spans="1:11" x14ac:dyDescent="0.6">
      <c r="A4" s="23" t="s">
        <v>129</v>
      </c>
      <c r="B4" s="3" t="s">
        <v>51</v>
      </c>
      <c r="C4" s="3" t="s">
        <v>50</v>
      </c>
      <c r="D4" s="3" t="s">
        <v>50</v>
      </c>
      <c r="E4" s="3"/>
      <c r="F4" s="3" t="s">
        <v>50</v>
      </c>
      <c r="G4" s="3"/>
      <c r="H4" s="3" t="s">
        <v>50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160</v>
      </c>
      <c r="K4" s="3"/>
    </row>
    <row r="5" spans="1:11" x14ac:dyDescent="0.6">
      <c r="A5" s="23" t="s">
        <v>141</v>
      </c>
      <c r="B5" s="3" t="s">
        <v>51</v>
      </c>
      <c r="C5" s="3"/>
      <c r="D5" s="3"/>
      <c r="E5" s="3" t="s">
        <v>50</v>
      </c>
      <c r="F5" s="3" t="s">
        <v>51</v>
      </c>
      <c r="G5" s="3" t="s">
        <v>50</v>
      </c>
      <c r="H5" s="3" t="s">
        <v>50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158</v>
      </c>
      <c r="K5" s="3"/>
    </row>
    <row r="6" spans="1:11" x14ac:dyDescent="0.6">
      <c r="A6" s="23" t="s">
        <v>9</v>
      </c>
      <c r="B6" s="3" t="s">
        <v>51</v>
      </c>
      <c r="C6" s="3"/>
      <c r="D6" s="3"/>
      <c r="E6" s="3" t="s">
        <v>51</v>
      </c>
      <c r="F6" s="3" t="s">
        <v>50</v>
      </c>
      <c r="G6" s="3" t="s">
        <v>50</v>
      </c>
      <c r="H6" s="3" t="s">
        <v>50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156</v>
      </c>
      <c r="K6" s="3"/>
    </row>
    <row r="7" spans="1:11" x14ac:dyDescent="0.6">
      <c r="A7" s="23" t="s">
        <v>60</v>
      </c>
      <c r="B7" s="3" t="s">
        <v>50</v>
      </c>
      <c r="C7" s="3" t="s">
        <v>51</v>
      </c>
      <c r="D7" s="3" t="s">
        <v>50</v>
      </c>
      <c r="E7" s="3" t="s">
        <v>51</v>
      </c>
      <c r="F7" s="3" t="s">
        <v>51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154</v>
      </c>
      <c r="K7" s="3"/>
    </row>
    <row r="8" spans="1:11" x14ac:dyDescent="0.6">
      <c r="A8" s="23" t="s">
        <v>12</v>
      </c>
      <c r="B8" s="3" t="s">
        <v>50</v>
      </c>
      <c r="C8" s="3"/>
      <c r="D8" s="3"/>
      <c r="E8" s="3" t="s">
        <v>51</v>
      </c>
      <c r="F8" s="3" t="s">
        <v>51</v>
      </c>
      <c r="G8" s="3" t="s">
        <v>50</v>
      </c>
      <c r="H8" s="3" t="s">
        <v>51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152</v>
      </c>
      <c r="K8" s="3"/>
    </row>
    <row r="9" spans="1:11" x14ac:dyDescent="0.6">
      <c r="A9" s="23" t="s">
        <v>58</v>
      </c>
      <c r="B9" s="3"/>
      <c r="C9" s="3" t="s">
        <v>50</v>
      </c>
      <c r="D9" s="3" t="s">
        <v>51</v>
      </c>
      <c r="E9" s="3" t="s">
        <v>50</v>
      </c>
      <c r="F9" s="3" t="s">
        <v>51</v>
      </c>
      <c r="G9" s="3"/>
      <c r="H9" s="3" t="s">
        <v>51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159</v>
      </c>
      <c r="K9" s="3" t="s">
        <v>46</v>
      </c>
    </row>
    <row r="10" spans="1:11" x14ac:dyDescent="0.6">
      <c r="A10" s="25" t="s">
        <v>5</v>
      </c>
      <c r="B10" s="7" t="s">
        <v>51</v>
      </c>
      <c r="C10" s="7" t="s">
        <v>51</v>
      </c>
      <c r="D10" s="7" t="s">
        <v>50</v>
      </c>
      <c r="E10" s="7" t="s">
        <v>50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155</v>
      </c>
      <c r="K10" s="7"/>
    </row>
    <row r="11" spans="1:11" x14ac:dyDescent="0.6">
      <c r="A11" s="25" t="s">
        <v>32</v>
      </c>
      <c r="B11" s="7"/>
      <c r="C11" s="7" t="s">
        <v>50</v>
      </c>
      <c r="D11" s="7" t="s">
        <v>50</v>
      </c>
      <c r="E11" s="7" t="s">
        <v>50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162</v>
      </c>
      <c r="K11" s="7"/>
    </row>
    <row r="12" spans="1:11" x14ac:dyDescent="0.6">
      <c r="A12" s="25" t="s">
        <v>150</v>
      </c>
      <c r="B12" s="7"/>
      <c r="C12" s="7" t="s">
        <v>51</v>
      </c>
      <c r="D12" s="7"/>
      <c r="E12" s="7" t="s">
        <v>51</v>
      </c>
      <c r="F12" s="7"/>
      <c r="G12" s="7" t="s">
        <v>51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139</v>
      </c>
      <c r="K12" s="7"/>
    </row>
    <row r="13" spans="1:11" x14ac:dyDescent="0.6">
      <c r="A13" s="25" t="s">
        <v>117</v>
      </c>
      <c r="B13" s="7"/>
      <c r="C13" s="7"/>
      <c r="D13" s="7"/>
      <c r="E13" s="7"/>
      <c r="F13" s="7"/>
      <c r="G13" s="7" t="s">
        <v>51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161</v>
      </c>
      <c r="K13" s="7"/>
    </row>
    <row r="14" spans="1:11" x14ac:dyDescent="0.6">
      <c r="A14" s="25" t="s">
        <v>43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155</v>
      </c>
      <c r="K14" s="16" t="s">
        <v>209</v>
      </c>
    </row>
    <row r="15" spans="1:11" x14ac:dyDescent="0.6">
      <c r="A15" s="24" t="s">
        <v>19</v>
      </c>
      <c r="B15" s="9"/>
      <c r="C15" s="9"/>
      <c r="D15" s="9"/>
      <c r="E15" s="9" t="s">
        <v>50</v>
      </c>
      <c r="F15" s="9" t="s">
        <v>51</v>
      </c>
      <c r="G15" s="9" t="s">
        <v>81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151</v>
      </c>
      <c r="K15" s="27" t="s">
        <v>165</v>
      </c>
    </row>
    <row r="16" spans="1:11" x14ac:dyDescent="0.6">
      <c r="A16" s="24" t="s">
        <v>7</v>
      </c>
      <c r="B16" s="9" t="s">
        <v>51</v>
      </c>
      <c r="C16" s="9"/>
      <c r="D16" s="9" t="s">
        <v>51</v>
      </c>
      <c r="E16" s="9"/>
      <c r="F16" s="9" t="s">
        <v>50</v>
      </c>
      <c r="G16" s="9"/>
      <c r="H16" s="9" t="s">
        <v>51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157</v>
      </c>
      <c r="K16" s="27" t="s">
        <v>74</v>
      </c>
    </row>
    <row r="17" spans="1:11" x14ac:dyDescent="0.6">
      <c r="A17" s="24" t="s">
        <v>34</v>
      </c>
      <c r="B17" s="9"/>
      <c r="C17" s="9"/>
      <c r="D17" s="9"/>
      <c r="E17" s="9" t="s">
        <v>50</v>
      </c>
      <c r="F17" s="9" t="s">
        <v>50</v>
      </c>
      <c r="G17" s="9" t="s">
        <v>50</v>
      </c>
      <c r="H17" s="9" t="s">
        <v>50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158</v>
      </c>
      <c r="K17" s="9" t="s">
        <v>44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159</v>
      </c>
      <c r="K18" s="9" t="s">
        <v>111</v>
      </c>
    </row>
    <row r="19" spans="1:11" x14ac:dyDescent="0.6">
      <c r="A19" s="26" t="s">
        <v>149</v>
      </c>
      <c r="B19" s="5" t="s">
        <v>51</v>
      </c>
      <c r="C19" s="5" t="s">
        <v>50</v>
      </c>
      <c r="D19" s="5" t="s">
        <v>50</v>
      </c>
      <c r="E19" s="5" t="s">
        <v>51</v>
      </c>
      <c r="F19" s="5"/>
      <c r="G19" s="5"/>
      <c r="H19" s="5" t="s">
        <v>81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95</v>
      </c>
    </row>
    <row r="20" spans="1:11" x14ac:dyDescent="0.6">
      <c r="A20" s="26" t="s">
        <v>2</v>
      </c>
      <c r="B20" s="5" t="s">
        <v>51</v>
      </c>
      <c r="C20" s="5" t="s">
        <v>51</v>
      </c>
      <c r="D20" s="5" t="s">
        <v>50</v>
      </c>
      <c r="E20" s="5" t="s">
        <v>50</v>
      </c>
      <c r="F20" s="5" t="s">
        <v>51</v>
      </c>
      <c r="G20" s="5" t="s">
        <v>50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163</v>
      </c>
      <c r="K20" s="5" t="s">
        <v>133</v>
      </c>
    </row>
    <row r="21" spans="1:11" x14ac:dyDescent="0.6">
      <c r="A21" s="26" t="s">
        <v>91</v>
      </c>
      <c r="B21" s="5" t="s">
        <v>51</v>
      </c>
      <c r="C21" s="5"/>
      <c r="D21" s="5" t="s">
        <v>50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157</v>
      </c>
      <c r="K21" s="5" t="s">
        <v>95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51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164</v>
      </c>
      <c r="K22" s="5" t="s">
        <v>132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131</v>
      </c>
    </row>
    <row r="24" spans="1:11" x14ac:dyDescent="0.6">
      <c r="A24" s="14" t="s">
        <v>53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140</v>
      </c>
      <c r="K24" s="1"/>
    </row>
  </sheetData>
  <sortState xmlns:xlrd2="http://schemas.microsoft.com/office/spreadsheetml/2017/richdata2" ref="A2:K23">
    <sortCondition sortBy="cellColor" ref="I2:I23" dxfId="46"/>
    <sortCondition sortBy="cellColor" ref="I2:I23" dxfId="45"/>
    <sortCondition sortBy="cellColor" ref="I2:I23" dxfId="44"/>
    <sortCondition sortBy="cellColor" ref="I2:I23" dxfId="43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166</v>
      </c>
      <c r="C1" s="13" t="s">
        <v>167</v>
      </c>
      <c r="D1" s="13" t="s">
        <v>168</v>
      </c>
      <c r="E1" s="13" t="s">
        <v>169</v>
      </c>
      <c r="F1" s="13" t="s">
        <v>181</v>
      </c>
      <c r="G1" s="13" t="s">
        <v>182</v>
      </c>
      <c r="H1" s="13" t="s">
        <v>183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58</v>
      </c>
      <c r="B2" s="3" t="s">
        <v>50</v>
      </c>
      <c r="C2" s="3" t="s">
        <v>50</v>
      </c>
      <c r="D2" s="3" t="s">
        <v>50</v>
      </c>
      <c r="E2" s="3" t="s">
        <v>50</v>
      </c>
      <c r="F2" s="3" t="s">
        <v>50</v>
      </c>
      <c r="G2" s="3" t="s">
        <v>50</v>
      </c>
      <c r="H2" s="3" t="s">
        <v>50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155</v>
      </c>
      <c r="K2" s="3" t="s">
        <v>46</v>
      </c>
    </row>
    <row r="3" spans="1:11" x14ac:dyDescent="0.6">
      <c r="A3" s="23" t="s">
        <v>40</v>
      </c>
      <c r="B3" s="3" t="s">
        <v>50</v>
      </c>
      <c r="C3" s="3" t="s">
        <v>50</v>
      </c>
      <c r="D3" s="3"/>
      <c r="E3" s="3" t="s">
        <v>51</v>
      </c>
      <c r="F3" s="3" t="s">
        <v>51</v>
      </c>
      <c r="G3" s="3" t="s">
        <v>50</v>
      </c>
      <c r="H3" s="3" t="s">
        <v>50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171</v>
      </c>
      <c r="K3" s="3"/>
    </row>
    <row r="4" spans="1:11" x14ac:dyDescent="0.6">
      <c r="A4" s="23" t="s">
        <v>5</v>
      </c>
      <c r="B4" s="3" t="s">
        <v>81</v>
      </c>
      <c r="C4" s="3" t="s">
        <v>81</v>
      </c>
      <c r="D4" s="3" t="s">
        <v>51</v>
      </c>
      <c r="E4" s="3" t="s">
        <v>50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158</v>
      </c>
      <c r="K4" s="3"/>
    </row>
    <row r="5" spans="1:11" x14ac:dyDescent="0.6">
      <c r="A5" s="23" t="s">
        <v>96</v>
      </c>
      <c r="B5" s="3" t="s">
        <v>51</v>
      </c>
      <c r="C5" s="3"/>
      <c r="D5" s="3" t="s">
        <v>50</v>
      </c>
      <c r="E5" s="3" t="s">
        <v>50</v>
      </c>
      <c r="F5" s="3" t="s">
        <v>51</v>
      </c>
      <c r="G5" s="3" t="s">
        <v>51</v>
      </c>
      <c r="H5" s="3" t="s">
        <v>50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170</v>
      </c>
      <c r="K5" s="3" t="s">
        <v>47</v>
      </c>
    </row>
    <row r="6" spans="1:11" x14ac:dyDescent="0.6">
      <c r="A6" s="23" t="s">
        <v>129</v>
      </c>
      <c r="B6" s="3"/>
      <c r="C6" s="3" t="s">
        <v>50</v>
      </c>
      <c r="D6" s="3" t="s">
        <v>50</v>
      </c>
      <c r="E6" s="3" t="s">
        <v>50</v>
      </c>
      <c r="F6" s="3" t="s">
        <v>51</v>
      </c>
      <c r="G6" s="3"/>
      <c r="H6" s="3" t="s">
        <v>51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172</v>
      </c>
      <c r="K6" s="3"/>
    </row>
    <row r="7" spans="1:11" x14ac:dyDescent="0.6">
      <c r="A7" s="23" t="s">
        <v>141</v>
      </c>
      <c r="B7" s="3"/>
      <c r="C7" s="3"/>
      <c r="D7" s="3" t="s">
        <v>51</v>
      </c>
      <c r="E7" s="3" t="s">
        <v>50</v>
      </c>
      <c r="F7" s="3" t="s">
        <v>50</v>
      </c>
      <c r="G7" s="3" t="s">
        <v>51</v>
      </c>
      <c r="H7" s="3" t="s">
        <v>51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173</v>
      </c>
      <c r="K7" s="3"/>
    </row>
    <row r="8" spans="1:11" x14ac:dyDescent="0.6">
      <c r="A8" s="23" t="s">
        <v>150</v>
      </c>
      <c r="B8" s="3" t="s">
        <v>51</v>
      </c>
      <c r="C8" s="3"/>
      <c r="D8" s="3" t="s">
        <v>50</v>
      </c>
      <c r="E8" s="3" t="s">
        <v>50</v>
      </c>
      <c r="F8" s="3" t="s">
        <v>51</v>
      </c>
      <c r="G8" s="3"/>
      <c r="H8" s="3" t="s">
        <v>51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162</v>
      </c>
      <c r="K8" s="3"/>
    </row>
    <row r="9" spans="1:11" x14ac:dyDescent="0.6">
      <c r="A9" s="23" t="s">
        <v>60</v>
      </c>
      <c r="B9" s="3" t="s">
        <v>51</v>
      </c>
      <c r="C9" s="3" t="s">
        <v>51</v>
      </c>
      <c r="D9" s="3" t="s">
        <v>51</v>
      </c>
      <c r="E9" s="3"/>
      <c r="F9" s="3" t="s">
        <v>51</v>
      </c>
      <c r="G9" s="3" t="s">
        <v>51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155</v>
      </c>
      <c r="K9" s="3"/>
    </row>
    <row r="10" spans="1:11" x14ac:dyDescent="0.6">
      <c r="A10" s="25" t="s">
        <v>12</v>
      </c>
      <c r="B10" s="7"/>
      <c r="C10" s="7" t="s">
        <v>50</v>
      </c>
      <c r="D10" s="7" t="s">
        <v>51</v>
      </c>
      <c r="E10" s="7" t="s">
        <v>50</v>
      </c>
      <c r="F10" s="7"/>
      <c r="G10" s="7" t="s">
        <v>50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155</v>
      </c>
      <c r="K10" s="7"/>
    </row>
    <row r="11" spans="1:11" x14ac:dyDescent="0.6">
      <c r="A11" s="25" t="s">
        <v>9</v>
      </c>
      <c r="B11" s="7"/>
      <c r="C11" s="7" t="s">
        <v>50</v>
      </c>
      <c r="D11" s="7"/>
      <c r="E11" s="7" t="s">
        <v>50</v>
      </c>
      <c r="F11" s="7" t="s">
        <v>50</v>
      </c>
      <c r="G11" s="7"/>
      <c r="H11" s="7" t="s">
        <v>51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173</v>
      </c>
      <c r="K11" s="7"/>
    </row>
    <row r="12" spans="1:11" x14ac:dyDescent="0.6">
      <c r="A12" s="25" t="s">
        <v>117</v>
      </c>
      <c r="B12" s="7"/>
      <c r="C12" s="7"/>
      <c r="D12" s="7"/>
      <c r="E12" s="7" t="s">
        <v>51</v>
      </c>
      <c r="F12" s="7" t="s">
        <v>50</v>
      </c>
      <c r="G12" s="7" t="s">
        <v>50</v>
      </c>
      <c r="H12" s="7" t="s">
        <v>50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177</v>
      </c>
      <c r="K12" s="7"/>
    </row>
    <row r="13" spans="1:11" x14ac:dyDescent="0.6">
      <c r="A13" s="25" t="s">
        <v>19</v>
      </c>
      <c r="B13" s="7" t="s">
        <v>51</v>
      </c>
      <c r="C13" s="7"/>
      <c r="D13" s="7" t="s">
        <v>51</v>
      </c>
      <c r="E13" s="7"/>
      <c r="F13" s="7"/>
      <c r="G13" s="7" t="s">
        <v>51</v>
      </c>
      <c r="H13" s="7" t="s">
        <v>51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158</v>
      </c>
      <c r="K13" s="10" t="s">
        <v>178</v>
      </c>
    </row>
    <row r="14" spans="1:11" x14ac:dyDescent="0.6">
      <c r="A14" s="25" t="s">
        <v>180</v>
      </c>
      <c r="B14" s="16"/>
      <c r="C14" s="16"/>
      <c r="D14" s="16" t="s">
        <v>50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175</v>
      </c>
      <c r="K14" s="16"/>
    </row>
    <row r="15" spans="1:11" x14ac:dyDescent="0.6">
      <c r="A15" s="25" t="s">
        <v>32</v>
      </c>
      <c r="B15" s="7"/>
      <c r="C15" s="7" t="s">
        <v>51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176</v>
      </c>
      <c r="K15" s="7"/>
    </row>
    <row r="16" spans="1:11" x14ac:dyDescent="0.6">
      <c r="A16" s="25" t="s">
        <v>43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175</v>
      </c>
      <c r="K16" s="16" t="s">
        <v>21</v>
      </c>
    </row>
    <row r="17" spans="1:11" x14ac:dyDescent="0.6">
      <c r="A17" s="24" t="s">
        <v>7</v>
      </c>
      <c r="B17" s="9"/>
      <c r="C17" s="9" t="s">
        <v>50</v>
      </c>
      <c r="D17" s="9"/>
      <c r="E17" s="9" t="s">
        <v>51</v>
      </c>
      <c r="F17" s="9"/>
      <c r="G17" s="9" t="s">
        <v>51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161</v>
      </c>
      <c r="K17" s="27" t="s">
        <v>74</v>
      </c>
    </row>
    <row r="18" spans="1:11" x14ac:dyDescent="0.6">
      <c r="A18" s="24" t="s">
        <v>34</v>
      </c>
      <c r="B18" s="9"/>
      <c r="C18" s="9"/>
      <c r="D18" s="9"/>
      <c r="E18" s="9"/>
      <c r="F18" s="9" t="s">
        <v>50</v>
      </c>
      <c r="G18" s="9" t="s">
        <v>50</v>
      </c>
      <c r="H18" s="9" t="s">
        <v>50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174</v>
      </c>
      <c r="K18" s="9" t="s">
        <v>44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51</v>
      </c>
      <c r="H19" s="9" t="s">
        <v>50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175</v>
      </c>
      <c r="K19" s="9" t="s">
        <v>111</v>
      </c>
    </row>
    <row r="20" spans="1:11" x14ac:dyDescent="0.6">
      <c r="A20" s="26" t="s">
        <v>2</v>
      </c>
      <c r="B20" s="5" t="s">
        <v>50</v>
      </c>
      <c r="C20" s="5" t="s">
        <v>51</v>
      </c>
      <c r="D20" s="5" t="s">
        <v>50</v>
      </c>
      <c r="E20" s="5" t="s">
        <v>51</v>
      </c>
      <c r="F20" s="5" t="s">
        <v>51</v>
      </c>
      <c r="G20" s="5" t="s">
        <v>51</v>
      </c>
      <c r="H20" s="5" t="s">
        <v>50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221</v>
      </c>
      <c r="K20" s="5" t="s">
        <v>133</v>
      </c>
    </row>
    <row r="21" spans="1:11" x14ac:dyDescent="0.6">
      <c r="A21" s="26" t="s">
        <v>3</v>
      </c>
      <c r="B21" s="12"/>
      <c r="C21" s="12" t="s">
        <v>51</v>
      </c>
      <c r="D21" s="12" t="s">
        <v>50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177</v>
      </c>
      <c r="K21" s="5" t="s">
        <v>132</v>
      </c>
    </row>
    <row r="22" spans="1:11" x14ac:dyDescent="0.6">
      <c r="A22" s="26" t="s">
        <v>91</v>
      </c>
      <c r="B22" s="5" t="s">
        <v>50</v>
      </c>
      <c r="C22" s="5"/>
      <c r="D22" s="5"/>
      <c r="E22" s="5"/>
      <c r="F22" s="5" t="s">
        <v>50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164</v>
      </c>
      <c r="K22" s="5" t="s">
        <v>95</v>
      </c>
    </row>
    <row r="23" spans="1:11" x14ac:dyDescent="0.6">
      <c r="A23" s="26" t="s">
        <v>149</v>
      </c>
      <c r="B23" s="5" t="s">
        <v>50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171</v>
      </c>
      <c r="K23" s="5" t="s">
        <v>95</v>
      </c>
    </row>
    <row r="24" spans="1:11" x14ac:dyDescent="0.6">
      <c r="A24" s="26" t="s">
        <v>90</v>
      </c>
      <c r="B24" s="5" t="s">
        <v>51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175</v>
      </c>
      <c r="K24" s="5" t="s">
        <v>179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175</v>
      </c>
      <c r="K25" s="5" t="s">
        <v>131</v>
      </c>
    </row>
    <row r="26" spans="1:11" x14ac:dyDescent="0.6">
      <c r="A26" s="14" t="s">
        <v>53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140</v>
      </c>
      <c r="K26" s="1"/>
    </row>
  </sheetData>
  <sortState xmlns:xlrd2="http://schemas.microsoft.com/office/spreadsheetml/2017/richdata2" ref="A2:K25">
    <sortCondition sortBy="cellColor" ref="I2:I25" dxfId="59"/>
    <sortCondition sortBy="cellColor" ref="I2:I25" dxfId="58"/>
    <sortCondition sortBy="cellColor" ref="I2:I25" dxfId="57"/>
    <sortCondition sortBy="cellColor" ref="I2:I25" dxfId="5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J26" sqref="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184</v>
      </c>
      <c r="C1" s="13" t="s">
        <v>185</v>
      </c>
      <c r="D1" s="13" t="s">
        <v>186</v>
      </c>
      <c r="E1" s="13" t="s">
        <v>187</v>
      </c>
      <c r="F1" s="13" t="s">
        <v>188</v>
      </c>
      <c r="G1" s="10" t="s">
        <v>189</v>
      </c>
      <c r="H1" s="13" t="s">
        <v>190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96</v>
      </c>
      <c r="B2" s="3" t="s">
        <v>51</v>
      </c>
      <c r="C2" s="3" t="s">
        <v>50</v>
      </c>
      <c r="D2" s="3" t="s">
        <v>50</v>
      </c>
      <c r="E2" s="3" t="s">
        <v>51</v>
      </c>
      <c r="F2" s="3" t="s">
        <v>51</v>
      </c>
      <c r="G2" s="3" t="s">
        <v>50</v>
      </c>
      <c r="H2" s="3" t="s">
        <v>51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171</v>
      </c>
      <c r="K2" s="3" t="s">
        <v>47</v>
      </c>
    </row>
    <row r="3" spans="1:11" x14ac:dyDescent="0.6">
      <c r="A3" s="23" t="s">
        <v>60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51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191</v>
      </c>
      <c r="K3" s="3"/>
    </row>
    <row r="4" spans="1:11" x14ac:dyDescent="0.6">
      <c r="A4" s="23" t="s">
        <v>12</v>
      </c>
      <c r="B4" s="3"/>
      <c r="C4" s="3" t="s">
        <v>50</v>
      </c>
      <c r="D4" s="3" t="s">
        <v>50</v>
      </c>
      <c r="E4" s="3" t="s">
        <v>51</v>
      </c>
      <c r="F4" s="3" t="s">
        <v>51</v>
      </c>
      <c r="G4" s="3" t="s">
        <v>51</v>
      </c>
      <c r="H4" s="3" t="s">
        <v>51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192</v>
      </c>
      <c r="K4" s="3"/>
    </row>
    <row r="5" spans="1:11" x14ac:dyDescent="0.6">
      <c r="A5" s="23" t="s">
        <v>5</v>
      </c>
      <c r="B5" s="3" t="s">
        <v>50</v>
      </c>
      <c r="C5" s="3" t="s">
        <v>51</v>
      </c>
      <c r="D5" s="3" t="s">
        <v>50</v>
      </c>
      <c r="E5" s="3" t="s">
        <v>50</v>
      </c>
      <c r="F5" s="3"/>
      <c r="G5" s="3" t="s">
        <v>50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171</v>
      </c>
      <c r="K5" s="3"/>
    </row>
    <row r="6" spans="1:11" x14ac:dyDescent="0.6">
      <c r="A6" s="23" t="s">
        <v>40</v>
      </c>
      <c r="B6" s="3" t="s">
        <v>51</v>
      </c>
      <c r="C6" s="3" t="s">
        <v>50</v>
      </c>
      <c r="D6" s="3" t="s">
        <v>50</v>
      </c>
      <c r="E6" s="3"/>
      <c r="F6" s="3"/>
      <c r="G6" s="3" t="s">
        <v>50</v>
      </c>
      <c r="H6" s="3" t="s">
        <v>51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129</v>
      </c>
      <c r="B7" s="3" t="s">
        <v>50</v>
      </c>
      <c r="C7" s="3" t="s">
        <v>51</v>
      </c>
      <c r="D7" s="3" t="s">
        <v>50</v>
      </c>
      <c r="E7" s="3" t="s">
        <v>51</v>
      </c>
      <c r="F7" s="3"/>
      <c r="G7" s="3" t="s">
        <v>51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173</v>
      </c>
      <c r="K7" s="3"/>
    </row>
    <row r="8" spans="1:11" x14ac:dyDescent="0.6">
      <c r="A8" s="23" t="s">
        <v>9</v>
      </c>
      <c r="B8" s="3" t="s">
        <v>51</v>
      </c>
      <c r="C8" s="3" t="s">
        <v>50</v>
      </c>
      <c r="D8" s="3" t="s">
        <v>51</v>
      </c>
      <c r="E8" s="3" t="s">
        <v>50</v>
      </c>
      <c r="F8" s="3"/>
      <c r="G8" s="3"/>
      <c r="H8" s="3" t="s">
        <v>51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192</v>
      </c>
      <c r="K8" s="3"/>
    </row>
    <row r="9" spans="1:11" x14ac:dyDescent="0.6">
      <c r="A9" s="23" t="s">
        <v>117</v>
      </c>
      <c r="B9" s="3"/>
      <c r="C9" s="3" t="s">
        <v>50</v>
      </c>
      <c r="D9" s="3" t="s">
        <v>51</v>
      </c>
      <c r="E9" s="3"/>
      <c r="F9" s="3" t="s">
        <v>51</v>
      </c>
      <c r="G9" s="3" t="s">
        <v>51</v>
      </c>
      <c r="H9" s="3" t="s">
        <v>50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192</v>
      </c>
      <c r="K9" s="3"/>
    </row>
    <row r="10" spans="1:11" x14ac:dyDescent="0.6">
      <c r="A10" s="23" t="s">
        <v>34</v>
      </c>
      <c r="B10" s="3" t="s">
        <v>51</v>
      </c>
      <c r="C10" s="3" t="s">
        <v>51</v>
      </c>
      <c r="D10" s="3"/>
      <c r="E10" s="3" t="s">
        <v>50</v>
      </c>
      <c r="F10" s="3" t="s">
        <v>51</v>
      </c>
      <c r="G10" s="3"/>
      <c r="H10" s="3" t="s">
        <v>51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176</v>
      </c>
      <c r="K10" s="3" t="s">
        <v>44</v>
      </c>
    </row>
    <row r="11" spans="1:11" x14ac:dyDescent="0.6">
      <c r="A11" s="25" t="s">
        <v>150</v>
      </c>
      <c r="B11" s="7" t="s">
        <v>50</v>
      </c>
      <c r="C11" s="7"/>
      <c r="D11" s="7"/>
      <c r="E11" s="7"/>
      <c r="F11" s="7" t="s">
        <v>51</v>
      </c>
      <c r="G11" s="7"/>
      <c r="H11" s="7" t="s">
        <v>50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155</v>
      </c>
      <c r="K11" s="7"/>
    </row>
    <row r="12" spans="1:11" x14ac:dyDescent="0.6">
      <c r="A12" s="25" t="s">
        <v>19</v>
      </c>
      <c r="B12" s="7"/>
      <c r="C12" s="7" t="s">
        <v>51</v>
      </c>
      <c r="D12" s="7"/>
      <c r="E12" s="7" t="s">
        <v>50</v>
      </c>
      <c r="F12" s="7" t="s">
        <v>50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195</v>
      </c>
      <c r="K12" s="10" t="s">
        <v>178</v>
      </c>
    </row>
    <row r="13" spans="1:11" x14ac:dyDescent="0.6">
      <c r="A13" s="25" t="s">
        <v>141</v>
      </c>
      <c r="B13" s="7" t="s">
        <v>51</v>
      </c>
      <c r="C13" s="7"/>
      <c r="D13" s="7" t="s">
        <v>50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155</v>
      </c>
      <c r="K13" s="7" t="s">
        <v>21</v>
      </c>
    </row>
    <row r="14" spans="1:11" x14ac:dyDescent="0.6">
      <c r="A14" s="25" t="s">
        <v>180</v>
      </c>
      <c r="B14" s="16" t="s">
        <v>51</v>
      </c>
      <c r="C14" s="16"/>
      <c r="D14" s="16"/>
      <c r="E14" s="16"/>
      <c r="F14" s="16" t="s">
        <v>50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193</v>
      </c>
      <c r="K14" s="16" t="s">
        <v>198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51</v>
      </c>
      <c r="H15" s="7" t="s">
        <v>51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177</v>
      </c>
      <c r="K15" s="7"/>
    </row>
    <row r="16" spans="1:11" x14ac:dyDescent="0.6">
      <c r="A16" s="24" t="s">
        <v>7</v>
      </c>
      <c r="B16" s="9" t="s">
        <v>50</v>
      </c>
      <c r="C16" s="9"/>
      <c r="D16" s="9" t="s">
        <v>51</v>
      </c>
      <c r="E16" s="9"/>
      <c r="F16" s="9" t="s">
        <v>51</v>
      </c>
      <c r="G16" s="9"/>
      <c r="H16" s="9" t="s">
        <v>50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157</v>
      </c>
      <c r="K16" s="27" t="s">
        <v>74</v>
      </c>
    </row>
    <row r="17" spans="1:11" x14ac:dyDescent="0.6">
      <c r="A17" s="24" t="s">
        <v>58</v>
      </c>
      <c r="B17" s="9"/>
      <c r="C17" s="9"/>
      <c r="D17" s="9"/>
      <c r="E17" s="9" t="s">
        <v>50</v>
      </c>
      <c r="F17" s="9"/>
      <c r="G17" s="9" t="s">
        <v>50</v>
      </c>
      <c r="H17" s="9" t="s">
        <v>51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194</v>
      </c>
      <c r="K17" s="9" t="s">
        <v>46</v>
      </c>
    </row>
    <row r="18" spans="1:11" x14ac:dyDescent="0.6">
      <c r="A18" s="24" t="s">
        <v>18</v>
      </c>
      <c r="B18" s="9"/>
      <c r="C18" s="9" t="s">
        <v>50</v>
      </c>
      <c r="D18" s="9"/>
      <c r="E18" s="9" t="s">
        <v>50</v>
      </c>
      <c r="F18" s="9"/>
      <c r="G18" s="9"/>
      <c r="H18" s="9" t="s">
        <v>50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164</v>
      </c>
      <c r="K18" s="9" t="s">
        <v>111</v>
      </c>
    </row>
    <row r="19" spans="1:11" x14ac:dyDescent="0.6">
      <c r="A19" s="24" t="s">
        <v>197</v>
      </c>
      <c r="B19" s="22"/>
      <c r="C19" s="22"/>
      <c r="D19" s="22" t="s">
        <v>51</v>
      </c>
      <c r="E19" s="22" t="s">
        <v>51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175</v>
      </c>
      <c r="K19" s="22" t="s">
        <v>48</v>
      </c>
    </row>
    <row r="20" spans="1:11" x14ac:dyDescent="0.6">
      <c r="A20" s="26" t="s">
        <v>2</v>
      </c>
      <c r="B20" s="5" t="s">
        <v>51</v>
      </c>
      <c r="C20" s="5" t="s">
        <v>51</v>
      </c>
      <c r="D20" s="5" t="s">
        <v>50</v>
      </c>
      <c r="E20" s="5" t="s">
        <v>51</v>
      </c>
      <c r="F20" s="5" t="s">
        <v>51</v>
      </c>
      <c r="G20" s="5" t="s">
        <v>51</v>
      </c>
      <c r="H20" s="5" t="s">
        <v>50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196</v>
      </c>
      <c r="K20" s="5" t="s">
        <v>133</v>
      </c>
    </row>
    <row r="21" spans="1:11" x14ac:dyDescent="0.6">
      <c r="A21" s="26" t="s">
        <v>149</v>
      </c>
      <c r="B21" s="5"/>
      <c r="C21" s="5"/>
      <c r="D21" s="5"/>
      <c r="E21" s="5"/>
      <c r="F21" s="5" t="s">
        <v>50</v>
      </c>
      <c r="G21" s="5" t="s">
        <v>51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193</v>
      </c>
      <c r="K21" s="5" t="s">
        <v>217</v>
      </c>
    </row>
    <row r="22" spans="1:11" x14ac:dyDescent="0.6">
      <c r="A22" s="26" t="s">
        <v>90</v>
      </c>
      <c r="B22" s="5"/>
      <c r="C22" s="5"/>
      <c r="D22" s="5"/>
      <c r="E22" s="5"/>
      <c r="F22" s="5" t="s">
        <v>51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177</v>
      </c>
      <c r="K22" s="5" t="s">
        <v>179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164</v>
      </c>
      <c r="K23" s="5" t="s">
        <v>132</v>
      </c>
    </row>
    <row r="24" spans="1:11" x14ac:dyDescent="0.6">
      <c r="A24" s="26" t="s">
        <v>91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160</v>
      </c>
      <c r="K24" s="5" t="s">
        <v>95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175</v>
      </c>
      <c r="K25" s="5" t="s">
        <v>131</v>
      </c>
    </row>
    <row r="26" spans="1:11" x14ac:dyDescent="0.6">
      <c r="A26" s="14" t="s">
        <v>53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140</v>
      </c>
      <c r="K26" s="1"/>
    </row>
  </sheetData>
  <sortState xmlns:xlrd2="http://schemas.microsoft.com/office/spreadsheetml/2017/richdata2" ref="A2:K25">
    <sortCondition sortBy="cellColor" ref="I2:I25" dxfId="71"/>
    <sortCondition sortBy="cellColor" ref="I2:I25" dxfId="70"/>
    <sortCondition sortBy="cellColor" ref="I2:I25" dxfId="69"/>
    <sortCondition descending="1" sortBy="cellColor" ref="I2:I25" dxfId="6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N23" sqref="N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201</v>
      </c>
      <c r="C1" s="13" t="s">
        <v>202</v>
      </c>
      <c r="D1" s="13" t="s">
        <v>203</v>
      </c>
      <c r="E1" s="10" t="s">
        <v>204</v>
      </c>
      <c r="F1" s="13" t="s">
        <v>205</v>
      </c>
      <c r="G1" s="13" t="s">
        <v>206</v>
      </c>
      <c r="H1" s="13" t="s">
        <v>207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96</v>
      </c>
      <c r="B2" s="3" t="s">
        <v>51</v>
      </c>
      <c r="C2" s="3"/>
      <c r="D2" s="3"/>
      <c r="E2" s="3" t="s">
        <v>50</v>
      </c>
      <c r="F2" s="3" t="s">
        <v>72</v>
      </c>
      <c r="G2" s="3" t="s">
        <v>51</v>
      </c>
      <c r="H2" s="3" t="s">
        <v>51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196</v>
      </c>
      <c r="K2" s="3" t="s">
        <v>47</v>
      </c>
    </row>
    <row r="3" spans="1:11" x14ac:dyDescent="0.6">
      <c r="A3" s="23" t="s">
        <v>117</v>
      </c>
      <c r="B3" s="3"/>
      <c r="C3" s="3" t="s">
        <v>51</v>
      </c>
      <c r="D3" s="3"/>
      <c r="E3" s="3" t="s">
        <v>51</v>
      </c>
      <c r="F3" s="3" t="s">
        <v>50</v>
      </c>
      <c r="G3" s="3" t="s">
        <v>50</v>
      </c>
      <c r="H3" s="3" t="s">
        <v>50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155</v>
      </c>
      <c r="K3" s="3"/>
    </row>
    <row r="4" spans="1:11" x14ac:dyDescent="0.6">
      <c r="A4" s="23" t="s">
        <v>129</v>
      </c>
      <c r="B4" s="3" t="s">
        <v>51</v>
      </c>
      <c r="C4" s="3" t="s">
        <v>50</v>
      </c>
      <c r="D4" s="3" t="s">
        <v>50</v>
      </c>
      <c r="E4" s="3" t="s">
        <v>51</v>
      </c>
      <c r="F4" s="3" t="s">
        <v>51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155</v>
      </c>
      <c r="K4" s="3"/>
    </row>
    <row r="5" spans="1:11" x14ac:dyDescent="0.6">
      <c r="A5" s="23" t="s">
        <v>12</v>
      </c>
      <c r="B5" s="3" t="s">
        <v>50</v>
      </c>
      <c r="C5" s="3" t="s">
        <v>51</v>
      </c>
      <c r="D5" s="3" t="s">
        <v>51</v>
      </c>
      <c r="E5" s="3"/>
      <c r="F5" s="3" t="s">
        <v>50</v>
      </c>
      <c r="G5" s="3"/>
      <c r="H5" s="3" t="s">
        <v>51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199</v>
      </c>
      <c r="K5" s="3"/>
    </row>
    <row r="6" spans="1:11" x14ac:dyDescent="0.6">
      <c r="A6" s="23" t="s">
        <v>40</v>
      </c>
      <c r="B6" s="3"/>
      <c r="C6" s="3" t="s">
        <v>50</v>
      </c>
      <c r="D6" s="3" t="s">
        <v>50</v>
      </c>
      <c r="E6" s="3" t="s">
        <v>51</v>
      </c>
      <c r="F6" s="3" t="s">
        <v>51</v>
      </c>
      <c r="G6" s="3"/>
      <c r="H6" s="3" t="s">
        <v>51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173</v>
      </c>
      <c r="K6" s="3"/>
    </row>
    <row r="7" spans="1:11" x14ac:dyDescent="0.6">
      <c r="A7" s="23" t="s">
        <v>34</v>
      </c>
      <c r="B7" s="3" t="s">
        <v>50</v>
      </c>
      <c r="C7" s="3" t="s">
        <v>50</v>
      </c>
      <c r="D7" s="3"/>
      <c r="E7" s="3" t="s">
        <v>51</v>
      </c>
      <c r="F7" s="3" t="s">
        <v>51</v>
      </c>
      <c r="G7" s="3"/>
      <c r="H7" s="3" t="s">
        <v>51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156</v>
      </c>
      <c r="K7" s="3" t="s">
        <v>44</v>
      </c>
    </row>
    <row r="8" spans="1:11" x14ac:dyDescent="0.6">
      <c r="A8" s="23" t="s">
        <v>5</v>
      </c>
      <c r="B8" s="3" t="s">
        <v>50</v>
      </c>
      <c r="C8" s="3" t="s">
        <v>51</v>
      </c>
      <c r="D8" s="3" t="s">
        <v>51</v>
      </c>
      <c r="E8" s="3" t="s">
        <v>51</v>
      </c>
      <c r="F8" s="3"/>
      <c r="G8" s="3" t="s">
        <v>51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172</v>
      </c>
      <c r="K8" s="3"/>
    </row>
    <row r="9" spans="1:11" x14ac:dyDescent="0.6">
      <c r="A9" s="23" t="s">
        <v>9</v>
      </c>
      <c r="B9" s="3" t="s">
        <v>51</v>
      </c>
      <c r="C9" s="3"/>
      <c r="D9" s="3" t="s">
        <v>50</v>
      </c>
      <c r="E9" s="3"/>
      <c r="F9" s="3" t="s">
        <v>51</v>
      </c>
      <c r="G9" s="3" t="s">
        <v>51</v>
      </c>
      <c r="H9" s="3" t="s">
        <v>51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155</v>
      </c>
      <c r="K9" s="3"/>
    </row>
    <row r="10" spans="1:11" x14ac:dyDescent="0.6">
      <c r="A10" s="23" t="s">
        <v>32</v>
      </c>
      <c r="B10" s="3" t="s">
        <v>51</v>
      </c>
      <c r="C10" s="3"/>
      <c r="D10" s="3"/>
      <c r="E10" s="3" t="s">
        <v>51</v>
      </c>
      <c r="F10" s="3" t="s">
        <v>51</v>
      </c>
      <c r="G10" s="3" t="s">
        <v>51</v>
      </c>
      <c r="H10" s="3" t="s">
        <v>50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200</v>
      </c>
      <c r="K10" s="3"/>
    </row>
    <row r="11" spans="1:11" x14ac:dyDescent="0.6">
      <c r="A11" s="25" t="s">
        <v>197</v>
      </c>
      <c r="B11" s="16" t="s">
        <v>50</v>
      </c>
      <c r="C11" s="16"/>
      <c r="D11" s="16" t="s">
        <v>50</v>
      </c>
      <c r="E11" s="16"/>
      <c r="F11" s="16" t="s">
        <v>50</v>
      </c>
      <c r="G11" s="16"/>
      <c r="H11" s="16" t="s">
        <v>50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200</v>
      </c>
      <c r="K11" s="16"/>
    </row>
    <row r="12" spans="1:11" x14ac:dyDescent="0.6">
      <c r="A12" s="25" t="s">
        <v>19</v>
      </c>
      <c r="B12" s="7" t="s">
        <v>51</v>
      </c>
      <c r="C12" s="7"/>
      <c r="D12" s="7"/>
      <c r="E12" s="7" t="s">
        <v>50</v>
      </c>
      <c r="F12" s="7" t="s">
        <v>50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159</v>
      </c>
      <c r="K12" s="10" t="s">
        <v>178</v>
      </c>
    </row>
    <row r="13" spans="1:11" x14ac:dyDescent="0.6">
      <c r="A13" s="25" t="s">
        <v>150</v>
      </c>
      <c r="B13" s="7"/>
      <c r="C13" s="7" t="s">
        <v>50</v>
      </c>
      <c r="D13" s="7" t="s">
        <v>51</v>
      </c>
      <c r="E13" s="7"/>
      <c r="F13" s="7"/>
      <c r="G13" s="7" t="s">
        <v>51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159</v>
      </c>
      <c r="K13" s="7"/>
    </row>
    <row r="14" spans="1:11" x14ac:dyDescent="0.6">
      <c r="A14" s="25" t="s">
        <v>60</v>
      </c>
      <c r="B14" s="7" t="s">
        <v>51</v>
      </c>
      <c r="C14" s="7" t="s">
        <v>51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163</v>
      </c>
      <c r="K14" s="7"/>
    </row>
    <row r="15" spans="1:11" x14ac:dyDescent="0.6">
      <c r="A15" s="25" t="s">
        <v>208</v>
      </c>
      <c r="B15" s="7"/>
      <c r="C15" s="7"/>
      <c r="D15" s="7" t="s">
        <v>51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175</v>
      </c>
      <c r="K15" s="7" t="s">
        <v>220</v>
      </c>
    </row>
    <row r="16" spans="1:11" x14ac:dyDescent="0.6">
      <c r="A16" s="25" t="s">
        <v>180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164</v>
      </c>
      <c r="K16" s="16" t="s">
        <v>198</v>
      </c>
    </row>
    <row r="17" spans="1:11" x14ac:dyDescent="0.6">
      <c r="A17" s="24" t="s">
        <v>58</v>
      </c>
      <c r="B17" s="9"/>
      <c r="C17" s="9" t="s">
        <v>50</v>
      </c>
      <c r="D17" s="9"/>
      <c r="E17" s="9" t="s">
        <v>50</v>
      </c>
      <c r="F17" s="9"/>
      <c r="G17" s="9" t="s">
        <v>51</v>
      </c>
      <c r="H17" s="9" t="s">
        <v>51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159</v>
      </c>
      <c r="K17" s="9" t="s">
        <v>46</v>
      </c>
    </row>
    <row r="18" spans="1:11" x14ac:dyDescent="0.6">
      <c r="A18" s="24" t="s">
        <v>18</v>
      </c>
      <c r="B18" s="9"/>
      <c r="C18" s="9" t="s">
        <v>51</v>
      </c>
      <c r="D18" s="9" t="s">
        <v>51</v>
      </c>
      <c r="E18" s="9"/>
      <c r="F18" s="9"/>
      <c r="G18" s="9" t="s">
        <v>51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176</v>
      </c>
      <c r="K18" s="9" t="s">
        <v>111</v>
      </c>
    </row>
    <row r="19" spans="1:11" x14ac:dyDescent="0.6">
      <c r="A19" s="24" t="s">
        <v>7</v>
      </c>
      <c r="B19" s="9"/>
      <c r="C19" s="9" t="s">
        <v>51</v>
      </c>
      <c r="D19" s="9"/>
      <c r="E19" s="9"/>
      <c r="F19" s="9"/>
      <c r="G19" s="9" t="s">
        <v>50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158</v>
      </c>
      <c r="K19" s="27" t="s">
        <v>74</v>
      </c>
    </row>
    <row r="20" spans="1:11" x14ac:dyDescent="0.6">
      <c r="A20" s="24" t="s">
        <v>218</v>
      </c>
      <c r="B20" s="9"/>
      <c r="C20" s="9"/>
      <c r="D20" s="9"/>
      <c r="E20" s="9"/>
      <c r="F20" s="9"/>
      <c r="G20" s="9" t="s">
        <v>50</v>
      </c>
      <c r="H20" s="9" t="s">
        <v>51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175</v>
      </c>
      <c r="K20" s="9" t="s">
        <v>219</v>
      </c>
    </row>
    <row r="21" spans="1:11" x14ac:dyDescent="0.6">
      <c r="A21" s="26" t="s">
        <v>2</v>
      </c>
      <c r="B21" s="5" t="s">
        <v>51</v>
      </c>
      <c r="C21" s="5" t="s">
        <v>50</v>
      </c>
      <c r="D21" s="5" t="s">
        <v>50</v>
      </c>
      <c r="E21" s="5" t="s">
        <v>51</v>
      </c>
      <c r="F21" s="5" t="s">
        <v>50</v>
      </c>
      <c r="G21" s="5" t="s">
        <v>50</v>
      </c>
      <c r="H21" s="5" t="s">
        <v>50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222</v>
      </c>
      <c r="K21" s="5" t="s">
        <v>133</v>
      </c>
    </row>
    <row r="22" spans="1:11" x14ac:dyDescent="0.6">
      <c r="A22" s="26" t="s">
        <v>149</v>
      </c>
      <c r="B22" s="5"/>
      <c r="C22" s="5"/>
      <c r="D22" s="5" t="s">
        <v>50</v>
      </c>
      <c r="E22" s="5" t="s">
        <v>50</v>
      </c>
      <c r="F22" s="5"/>
      <c r="G22" s="5" t="s">
        <v>50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164</v>
      </c>
      <c r="K22" s="5" t="s">
        <v>95</v>
      </c>
    </row>
    <row r="23" spans="1:11" x14ac:dyDescent="0.6">
      <c r="A23" s="26" t="s">
        <v>91</v>
      </c>
      <c r="B23" s="5"/>
      <c r="C23" s="5"/>
      <c r="D23" s="5" t="s">
        <v>50</v>
      </c>
      <c r="E23" s="5"/>
      <c r="F23" s="5"/>
      <c r="G23" s="5"/>
      <c r="H23" s="5" t="s">
        <v>51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175</v>
      </c>
      <c r="K23" s="5" t="s">
        <v>95</v>
      </c>
    </row>
    <row r="24" spans="1:11" x14ac:dyDescent="0.6">
      <c r="A24" s="26" t="s">
        <v>90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177</v>
      </c>
      <c r="K24" s="5" t="s">
        <v>179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175</v>
      </c>
      <c r="K25" s="5" t="s">
        <v>132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175</v>
      </c>
      <c r="K26" s="5" t="s">
        <v>131</v>
      </c>
    </row>
    <row r="27" spans="1:11" x14ac:dyDescent="0.6">
      <c r="A27" s="14" t="s">
        <v>53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140</v>
      </c>
      <c r="K27" s="1"/>
    </row>
  </sheetData>
  <sortState xmlns:xlrd2="http://schemas.microsoft.com/office/spreadsheetml/2017/richdata2" ref="A2:K26">
    <sortCondition sortBy="cellColor" ref="I2:I26" dxfId="83"/>
    <sortCondition sortBy="cellColor" ref="I2:I26" dxfId="82"/>
    <sortCondition sortBy="cellColor" ref="I2:I26" dxfId="81"/>
    <sortCondition sortBy="cellColor" ref="I2:I26" dxfId="80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tabSelected="1" zoomScale="75" workbookViewId="0">
      <selection activeCell="E10" sqref="E1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223</v>
      </c>
      <c r="C1" s="13" t="s">
        <v>224</v>
      </c>
      <c r="D1" s="13" t="s">
        <v>225</v>
      </c>
      <c r="E1" s="13" t="s">
        <v>226</v>
      </c>
      <c r="F1" s="13" t="s">
        <v>227</v>
      </c>
      <c r="G1" s="13" t="s">
        <v>228</v>
      </c>
      <c r="H1" s="13" t="s">
        <v>229</v>
      </c>
      <c r="I1" s="1" t="s">
        <v>53</v>
      </c>
      <c r="J1" s="1" t="s">
        <v>138</v>
      </c>
      <c r="K1" s="1" t="s">
        <v>20</v>
      </c>
    </row>
    <row r="2" spans="1:11" x14ac:dyDescent="0.6">
      <c r="A2" s="23" t="s">
        <v>180</v>
      </c>
      <c r="B2" s="21" t="s">
        <v>50</v>
      </c>
      <c r="C2" s="21" t="s">
        <v>50</v>
      </c>
      <c r="D2" s="21" t="s">
        <v>51</v>
      </c>
      <c r="E2" s="21" t="s">
        <v>50</v>
      </c>
      <c r="F2" s="21" t="s">
        <v>50</v>
      </c>
      <c r="G2" s="21" t="s">
        <v>50</v>
      </c>
      <c r="H2" s="21" t="s">
        <v>50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175</v>
      </c>
      <c r="K2" s="21"/>
    </row>
    <row r="3" spans="1:11" x14ac:dyDescent="0.6">
      <c r="A3" s="23" t="s">
        <v>197</v>
      </c>
      <c r="B3" s="21" t="s">
        <v>50</v>
      </c>
      <c r="C3" s="21" t="s">
        <v>50</v>
      </c>
      <c r="D3" s="21" t="s">
        <v>50</v>
      </c>
      <c r="E3" s="21" t="s">
        <v>50</v>
      </c>
      <c r="F3" s="21" t="s">
        <v>51</v>
      </c>
      <c r="G3" s="21" t="s">
        <v>50</v>
      </c>
      <c r="H3" s="21" t="s">
        <v>51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174</v>
      </c>
      <c r="K3" s="21"/>
    </row>
    <row r="4" spans="1:11" x14ac:dyDescent="0.6">
      <c r="A4" s="23" t="s">
        <v>96</v>
      </c>
      <c r="B4" s="3" t="s">
        <v>51</v>
      </c>
      <c r="C4" s="3"/>
      <c r="D4" s="3" t="s">
        <v>51</v>
      </c>
      <c r="E4" s="3" t="s">
        <v>51</v>
      </c>
      <c r="F4" s="3" t="s">
        <v>51</v>
      </c>
      <c r="G4" s="3" t="s">
        <v>50</v>
      </c>
      <c r="H4" s="3" t="s">
        <v>50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171</v>
      </c>
      <c r="K4" s="3" t="s">
        <v>47</v>
      </c>
    </row>
    <row r="5" spans="1:11" x14ac:dyDescent="0.6">
      <c r="A5" s="23" t="s">
        <v>34</v>
      </c>
      <c r="B5" s="3" t="s">
        <v>50</v>
      </c>
      <c r="C5" s="3" t="s">
        <v>51</v>
      </c>
      <c r="D5" s="3" t="s">
        <v>50</v>
      </c>
      <c r="E5" s="3" t="s">
        <v>50</v>
      </c>
      <c r="F5" s="3"/>
      <c r="G5" s="3" t="s">
        <v>50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155</v>
      </c>
      <c r="K5" s="3" t="s">
        <v>44</v>
      </c>
    </row>
    <row r="6" spans="1:11" x14ac:dyDescent="0.6">
      <c r="A6" s="23" t="s">
        <v>218</v>
      </c>
      <c r="B6" s="3" t="s">
        <v>51</v>
      </c>
      <c r="C6" s="3" t="s">
        <v>50</v>
      </c>
      <c r="D6" s="3"/>
      <c r="E6" s="3" t="s">
        <v>50</v>
      </c>
      <c r="F6" s="3"/>
      <c r="G6" s="3" t="s">
        <v>51</v>
      </c>
      <c r="H6" s="3" t="s">
        <v>50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164</v>
      </c>
      <c r="K6" s="3"/>
    </row>
    <row r="7" spans="1:11" x14ac:dyDescent="0.6">
      <c r="A7" s="23" t="s">
        <v>12</v>
      </c>
      <c r="B7" s="3" t="s">
        <v>51</v>
      </c>
      <c r="C7" s="3" t="s">
        <v>50</v>
      </c>
      <c r="D7" s="3" t="s">
        <v>51</v>
      </c>
      <c r="E7" s="3" t="s">
        <v>51</v>
      </c>
      <c r="F7" s="3" t="s">
        <v>50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155</v>
      </c>
      <c r="K7" s="3"/>
    </row>
    <row r="8" spans="1:11" x14ac:dyDescent="0.6">
      <c r="A8" s="23" t="s">
        <v>129</v>
      </c>
      <c r="B8" s="3" t="s">
        <v>51</v>
      </c>
      <c r="C8" s="3" t="s">
        <v>51</v>
      </c>
      <c r="D8" s="3" t="s">
        <v>50</v>
      </c>
      <c r="E8" s="3"/>
      <c r="F8" s="3" t="s">
        <v>50</v>
      </c>
      <c r="G8" s="3"/>
      <c r="H8" s="3" t="s">
        <v>51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155</v>
      </c>
      <c r="K8" s="3"/>
    </row>
    <row r="9" spans="1:11" x14ac:dyDescent="0.6">
      <c r="A9" s="28" t="s">
        <v>9</v>
      </c>
      <c r="B9" s="1"/>
      <c r="C9" s="1" t="s">
        <v>50</v>
      </c>
      <c r="D9" s="1" t="s">
        <v>51</v>
      </c>
      <c r="E9" s="1" t="s">
        <v>51</v>
      </c>
      <c r="F9" s="1"/>
      <c r="G9" s="1" t="s">
        <v>51</v>
      </c>
      <c r="H9" s="1"/>
      <c r="I9" s="29" t="str" cm="1">
        <f t="array" ref="I9">IF(COUNTA(B9:H9)=0,"0 (0%)",SUMPRODUCT(LEN(B9:H9))&amp;" ("&amp;TEXT(SUMPRODUCT(LEN(B9:H9)-LEN(SUBSTITUTE(B9:H9,"W","")))/SUMPRODUCT(LEN(B9:H9)),"0%")&amp;")")</f>
        <v>4 (25%)</v>
      </c>
      <c r="J9" s="30" t="s">
        <v>156</v>
      </c>
      <c r="K9" s="1"/>
    </row>
    <row r="10" spans="1:11" x14ac:dyDescent="0.6">
      <c r="A10" s="28" t="s">
        <v>40</v>
      </c>
      <c r="B10" s="1" t="s">
        <v>50</v>
      </c>
      <c r="C10" s="1" t="s">
        <v>51</v>
      </c>
      <c r="D10" s="1"/>
      <c r="E10" s="1"/>
      <c r="F10" s="1" t="s">
        <v>51</v>
      </c>
      <c r="G10" s="1" t="s">
        <v>51</v>
      </c>
      <c r="H10" s="1"/>
      <c r="I10" s="29" t="str" cm="1">
        <f t="array" ref="I10">IF(COUNTA(B10:H10)=0,"0 (0%)",SUMPRODUCT(LEN(B10:H10))&amp;" ("&amp;TEXT(SUMPRODUCT(LEN(B10:H10)-LEN(SUBSTITUTE(B10:H10,"W","")))/SUMPRODUCT(LEN(B10:H10)),"0%")&amp;")")</f>
        <v>4 (25%)</v>
      </c>
      <c r="J10" s="30" t="s">
        <v>155</v>
      </c>
      <c r="K10" s="1"/>
    </row>
    <row r="11" spans="1:11" x14ac:dyDescent="0.6">
      <c r="A11" s="23" t="s">
        <v>117</v>
      </c>
      <c r="B11" s="3"/>
      <c r="C11" s="3" t="s">
        <v>51</v>
      </c>
      <c r="D11" s="3"/>
      <c r="E11" s="3" t="s">
        <v>51</v>
      </c>
      <c r="F11" s="3" t="s">
        <v>51</v>
      </c>
      <c r="G11" s="3" t="s">
        <v>51</v>
      </c>
      <c r="H11" s="3"/>
      <c r="I11" s="17" t="str" cm="1">
        <f t="array" ref="I11">IF(COUNTA(B11:H11)=0,"0 (0%)",SUMPRODUCT(LEN(B11:H11))&amp;" ("&amp;TEXT(SUMPRODUCT(LEN(B11:H11)-LEN(SUBSTITUTE(B11:H11,"W","")))/SUMPRODUCT(LEN(B11:H11)),"0%")&amp;")")</f>
        <v>4 (0%)</v>
      </c>
      <c r="J11" s="21" t="s">
        <v>173</v>
      </c>
      <c r="K11" s="3"/>
    </row>
    <row r="12" spans="1:11" x14ac:dyDescent="0.6">
      <c r="A12" s="25" t="s">
        <v>19</v>
      </c>
      <c r="B12" s="7"/>
      <c r="C12" s="7" t="s">
        <v>50</v>
      </c>
      <c r="D12" s="7"/>
      <c r="E12" s="7" t="s">
        <v>51</v>
      </c>
      <c r="F12" s="7" t="s">
        <v>51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159</v>
      </c>
      <c r="K12" s="10" t="s">
        <v>178</v>
      </c>
    </row>
    <row r="13" spans="1:11" x14ac:dyDescent="0.6">
      <c r="A13" s="25" t="s">
        <v>32</v>
      </c>
      <c r="B13" s="7" t="s">
        <v>51</v>
      </c>
      <c r="C13" s="7"/>
      <c r="D13" s="7" t="s">
        <v>51</v>
      </c>
      <c r="E13" s="7"/>
      <c r="F13" s="7"/>
      <c r="G13" s="7" t="s">
        <v>51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 t="s">
        <v>156</v>
      </c>
      <c r="K13" s="7"/>
    </row>
    <row r="14" spans="1:11" x14ac:dyDescent="0.6">
      <c r="A14" s="25" t="s">
        <v>5</v>
      </c>
      <c r="B14" s="7" t="s">
        <v>51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156</v>
      </c>
      <c r="K14" s="7"/>
    </row>
    <row r="15" spans="1:11" x14ac:dyDescent="0.6">
      <c r="A15" s="25" t="s">
        <v>150</v>
      </c>
      <c r="B15" s="7"/>
      <c r="C15" s="7"/>
      <c r="D15" s="7" t="s">
        <v>51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157</v>
      </c>
      <c r="K15" s="7"/>
    </row>
    <row r="16" spans="1:11" x14ac:dyDescent="0.6">
      <c r="A16" s="25" t="s">
        <v>60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200</v>
      </c>
      <c r="K16" s="7"/>
    </row>
    <row r="17" spans="1:11" x14ac:dyDescent="0.6">
      <c r="A17" s="24" t="s">
        <v>7</v>
      </c>
      <c r="B17" s="9" t="s">
        <v>50</v>
      </c>
      <c r="C17" s="9"/>
      <c r="D17" s="9" t="s">
        <v>51</v>
      </c>
      <c r="E17" s="9"/>
      <c r="F17" s="9" t="s">
        <v>51</v>
      </c>
      <c r="G17" s="9"/>
      <c r="H17" s="9" t="s">
        <v>51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164</v>
      </c>
      <c r="K17" s="27" t="s">
        <v>74</v>
      </c>
    </row>
    <row r="18" spans="1:11" x14ac:dyDescent="0.6">
      <c r="A18" s="24" t="s">
        <v>58</v>
      </c>
      <c r="B18" s="9"/>
      <c r="C18" s="9"/>
      <c r="D18" s="9"/>
      <c r="E18" s="9" t="s">
        <v>50</v>
      </c>
      <c r="F18" s="9"/>
      <c r="G18" s="9" t="s">
        <v>50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(100%)</v>
      </c>
      <c r="J18" s="22" t="s">
        <v>158</v>
      </c>
      <c r="K18" s="9" t="s">
        <v>46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162</v>
      </c>
      <c r="K19" s="9" t="s">
        <v>111</v>
      </c>
    </row>
    <row r="20" spans="1:11" x14ac:dyDescent="0.6">
      <c r="A20" s="26" t="s">
        <v>2</v>
      </c>
      <c r="B20" s="5" t="s">
        <v>50</v>
      </c>
      <c r="C20" s="5" t="s">
        <v>51</v>
      </c>
      <c r="D20" s="5" t="s">
        <v>51</v>
      </c>
      <c r="E20" s="5" t="s">
        <v>50</v>
      </c>
      <c r="F20" s="5" t="s">
        <v>51</v>
      </c>
      <c r="G20" s="5" t="s">
        <v>51</v>
      </c>
      <c r="H20" s="5" t="s">
        <v>50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230</v>
      </c>
      <c r="K20" s="5" t="s">
        <v>133</v>
      </c>
    </row>
    <row r="21" spans="1:11" x14ac:dyDescent="0.6">
      <c r="A21" s="26" t="s">
        <v>149</v>
      </c>
      <c r="B21" s="5"/>
      <c r="C21" s="5" t="s">
        <v>50</v>
      </c>
      <c r="D21" s="5" t="s">
        <v>50</v>
      </c>
      <c r="E21" s="5" t="s">
        <v>50</v>
      </c>
      <c r="F21" s="5" t="s">
        <v>51</v>
      </c>
      <c r="G21" s="5" t="s">
        <v>51</v>
      </c>
      <c r="H21" s="5" t="s">
        <v>51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176</v>
      </c>
      <c r="K21" s="5" t="s">
        <v>95</v>
      </c>
    </row>
    <row r="22" spans="1:11" x14ac:dyDescent="0.6">
      <c r="A22" s="26" t="s">
        <v>91</v>
      </c>
      <c r="B22" s="5"/>
      <c r="C22" s="5"/>
      <c r="D22" s="5"/>
      <c r="E22" s="5"/>
      <c r="F22" s="5" t="s">
        <v>51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164</v>
      </c>
      <c r="K22" s="5" t="s">
        <v>95</v>
      </c>
    </row>
    <row r="23" spans="1:11" x14ac:dyDescent="0.6">
      <c r="A23" s="26" t="s">
        <v>90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175</v>
      </c>
      <c r="K23" s="5" t="s">
        <v>179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175</v>
      </c>
      <c r="K24" s="5" t="s">
        <v>132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175</v>
      </c>
      <c r="K25" s="5" t="s">
        <v>131</v>
      </c>
    </row>
    <row r="26" spans="1:11" x14ac:dyDescent="0.6">
      <c r="A26" s="14" t="s">
        <v>53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8 (50%)</v>
      </c>
      <c r="I26" s="1" t="str" cm="1">
        <f t="array" ref="I26">IF(COUNTA(B2:H25)=0,"0 (0%)",SUMPRODUCT(LEN(B2:H25))&amp;" ("&amp;TEXT(SUMPRODUCT(LEN(B2:H25)-LEN(SUBSTITUTE(B2:H25,"W","")))/SUMPRODUCT(LEN(B2:H25)),"0%")&amp;")")</f>
        <v>80 (45%)</v>
      </c>
      <c r="J26" s="1" t="s">
        <v>140</v>
      </c>
      <c r="K26" s="1"/>
    </row>
  </sheetData>
  <sortState xmlns:xlrd2="http://schemas.microsoft.com/office/spreadsheetml/2017/richdata2" ref="A2:K25">
    <sortCondition sortBy="cellColor" ref="I2:I25" dxfId="9"/>
    <sortCondition sortBy="cellColor" ref="I2:I25" dxfId="8"/>
    <sortCondition sortBy="cellColor" ref="I2:I25" dxfId="7"/>
    <sortCondition sortBy="cellColor" ref="I2:I25" dxfId="6"/>
    <sortCondition sortBy="cellColor" ref="I2:I25" dxfId="5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2026-05-24T11:58:03Z</dcterms:modified>
</cp:coreProperties>
</file>