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cat\OneDrive\ekdnsfhem\GitHub\Romang\data\"/>
    </mc:Choice>
  </mc:AlternateContent>
  <xr:revisionPtr revIDLastSave="0" documentId="13_ncr:1_{2F0D8593-F8B4-423E-ACA0-180D286D9479}" xr6:coauthVersionLast="47" xr6:coauthVersionMax="47" xr10:uidLastSave="{00000000-0000-0000-0000-000000000000}"/>
  <bookViews>
    <workbookView xWindow="-98" yWindow="-98" windowWidth="21795" windowHeight="12975" activeTab="4" xr2:uid="{3631474B-DFC9-4597-8BEB-4EEAC2453A81}"/>
  </bookViews>
  <sheets>
    <sheet name="1월 3주차" sheetId="1" r:id="rId1"/>
    <sheet name="2월 2주차" sheetId="3" r:id="rId2"/>
    <sheet name="2월 3주차" sheetId="2" r:id="rId3"/>
    <sheet name="2월 4주차" sheetId="4" r:id="rId4"/>
    <sheet name="3월 1주차" sheetId="5" r:id="rId5"/>
    <sheet name="3월 2주차" sheetId="6" r:id="rId6"/>
    <sheet name="3월 3주차" sheetId="7" r:id="rId7"/>
    <sheet name="3월 4주차" sheetId="10" r:id="rId8"/>
    <sheet name="4월 1주차" sheetId="11" r:id="rId9"/>
    <sheet name="4월 2주차" sheetId="12" r:id="rId10"/>
    <sheet name="4월 3주차" sheetId="13" r:id="rId11"/>
    <sheet name="4월 4주차" sheetId="14" r:id="rId12"/>
    <sheet name="5월 1주차" sheetId="16" r:id="rId13"/>
    <sheet name="5월 2주차" sheetId="18" r:id="rId14"/>
    <sheet name="5월 3주차" sheetId="19" r:id="rId15"/>
    <sheet name="5월 4주차" sheetId="22" r:id="rId16"/>
    <sheet name="5월 5주차" sheetId="23" r:id="rId17"/>
    <sheet name="6월 1주차" sheetId="24" r:id="rId18"/>
  </sheets>
  <definedNames>
    <definedName name="_xlnm._FilterDatabase" localSheetId="2" hidden="1">'2월 3주차'!$A$2:$I$8</definedName>
    <definedName name="_xlnm._FilterDatabase" localSheetId="3" hidden="1">'2월 4주차'!$A$8:$I$21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4" l="1" a="1"/>
  <c r="I26" i="24" s="1"/>
  <c r="H26" i="24" a="1"/>
  <c r="H26" i="24" s="1"/>
  <c r="G26" i="24" a="1"/>
  <c r="G26" i="24" s="1"/>
  <c r="F26" i="24" a="1"/>
  <c r="F26" i="24" s="1"/>
  <c r="E26" i="24" a="1"/>
  <c r="E26" i="24" s="1"/>
  <c r="D26" i="24" a="1"/>
  <c r="D26" i="24" s="1"/>
  <c r="C26" i="24" a="1"/>
  <c r="C26" i="24" s="1"/>
  <c r="B26" i="24" a="1"/>
  <c r="B26" i="24" s="1"/>
  <c r="I25" i="24" a="1"/>
  <c r="I25" i="24" s="1"/>
  <c r="I24" i="24" a="1"/>
  <c r="I24" i="24" s="1"/>
  <c r="I23" i="24" a="1"/>
  <c r="I23" i="24" s="1"/>
  <c r="I21" i="24" a="1"/>
  <c r="I21" i="24" s="1"/>
  <c r="I22" i="24" a="1"/>
  <c r="I22" i="24" s="1"/>
  <c r="I20" i="24" a="1"/>
  <c r="I20" i="24" s="1"/>
  <c r="I19" i="24" a="1"/>
  <c r="I19" i="24" s="1"/>
  <c r="I17" i="24" a="1"/>
  <c r="I17" i="24" s="1"/>
  <c r="I18" i="24" a="1"/>
  <c r="I18" i="24" s="1"/>
  <c r="I16" i="24" a="1"/>
  <c r="I16" i="24" s="1"/>
  <c r="I14" i="24" a="1"/>
  <c r="I14" i="24" s="1"/>
  <c r="I8" i="24" a="1"/>
  <c r="I8" i="24" s="1"/>
  <c r="I15" i="24" a="1"/>
  <c r="I15" i="24" s="1"/>
  <c r="I4" i="24" a="1"/>
  <c r="I4" i="24" s="1"/>
  <c r="I5" i="24" a="1"/>
  <c r="I5" i="24" s="1"/>
  <c r="I9" i="24" a="1"/>
  <c r="I9" i="24" s="1"/>
  <c r="I13" i="24" a="1"/>
  <c r="I13" i="24" s="1"/>
  <c r="I7" i="24" a="1"/>
  <c r="I7" i="24" s="1"/>
  <c r="I6" i="24" a="1"/>
  <c r="I6" i="24" s="1"/>
  <c r="I12" i="24" a="1"/>
  <c r="I12" i="24" s="1"/>
  <c r="I11" i="24" a="1"/>
  <c r="I11" i="24" s="1"/>
  <c r="I10" i="24" a="1"/>
  <c r="I10" i="24" s="1"/>
  <c r="I3" i="24" a="1"/>
  <c r="I3" i="24" s="1"/>
  <c r="I2" i="24" a="1"/>
  <c r="I2" i="24" s="1"/>
  <c r="I26" i="23" a="1"/>
  <c r="I26" i="23" s="1"/>
  <c r="H26" i="23" a="1"/>
  <c r="H26" i="23" s="1"/>
  <c r="G26" i="23" a="1"/>
  <c r="G26" i="23" s="1"/>
  <c r="F26" i="23" a="1"/>
  <c r="F26" i="23" s="1"/>
  <c r="E26" i="23" a="1"/>
  <c r="E26" i="23" s="1"/>
  <c r="D26" i="23" a="1"/>
  <c r="D26" i="23" s="1"/>
  <c r="C26" i="23" a="1"/>
  <c r="C26" i="23" s="1"/>
  <c r="B26" i="23" a="1"/>
  <c r="B26" i="23" s="1"/>
  <c r="I25" i="23" a="1"/>
  <c r="I25" i="23" s="1"/>
  <c r="I24" i="23" a="1"/>
  <c r="I24" i="23" s="1"/>
  <c r="I21" i="23" a="1"/>
  <c r="I21" i="23" s="1"/>
  <c r="I23" i="23" a="1"/>
  <c r="I23" i="23" s="1"/>
  <c r="I22" i="23" a="1"/>
  <c r="I22" i="23" s="1"/>
  <c r="I20" i="23" a="1"/>
  <c r="I20" i="23" s="1"/>
  <c r="I19" i="23" a="1"/>
  <c r="I19" i="23" s="1"/>
  <c r="I18" i="23" a="1"/>
  <c r="I18" i="23" s="1"/>
  <c r="I17" i="23" a="1"/>
  <c r="I17" i="23" s="1"/>
  <c r="I4" i="23" a="1"/>
  <c r="I4" i="23" s="1"/>
  <c r="I16" i="23" a="1"/>
  <c r="I16" i="23" s="1"/>
  <c r="I15" i="23" a="1"/>
  <c r="I15" i="23" s="1"/>
  <c r="I12" i="23" a="1"/>
  <c r="I12" i="23" s="1"/>
  <c r="I9" i="23" a="1"/>
  <c r="I9" i="23" s="1"/>
  <c r="I10" i="23" a="1"/>
  <c r="I10" i="23" s="1"/>
  <c r="I13" i="23" a="1"/>
  <c r="I13" i="23" s="1"/>
  <c r="I8" i="23" a="1"/>
  <c r="I8" i="23" s="1"/>
  <c r="I7" i="23" a="1"/>
  <c r="I7" i="23" s="1"/>
  <c r="I11" i="23" a="1"/>
  <c r="I11" i="23" s="1"/>
  <c r="I6" i="23" a="1"/>
  <c r="I6" i="23" s="1"/>
  <c r="I5" i="23" a="1"/>
  <c r="I5" i="23" s="1"/>
  <c r="I2" i="23" a="1"/>
  <c r="I2" i="23" s="1"/>
  <c r="I14" i="23" a="1"/>
  <c r="I14" i="23" s="1"/>
  <c r="I3" i="23" a="1"/>
  <c r="I3" i="23" s="1"/>
  <c r="I26" i="22" a="1"/>
  <c r="I26" i="22" s="1"/>
  <c r="H26" i="22" a="1"/>
  <c r="H26" i="22" s="1"/>
  <c r="G26" i="22" a="1"/>
  <c r="G26" i="22" s="1"/>
  <c r="F26" i="22" a="1"/>
  <c r="F26" i="22" s="1"/>
  <c r="E26" i="22" a="1"/>
  <c r="E26" i="22" s="1"/>
  <c r="D26" i="22" a="1"/>
  <c r="D26" i="22" s="1"/>
  <c r="C26" i="22" a="1"/>
  <c r="C26" i="22" s="1"/>
  <c r="B26" i="22" a="1"/>
  <c r="B26" i="22" s="1"/>
  <c r="I25" i="22" a="1"/>
  <c r="I25" i="22" s="1"/>
  <c r="I24" i="22" a="1"/>
  <c r="I24" i="22" s="1"/>
  <c r="I23" i="22" a="1"/>
  <c r="I23" i="22" s="1"/>
  <c r="I22" i="22" a="1"/>
  <c r="I22" i="22" s="1"/>
  <c r="I21" i="22" a="1"/>
  <c r="I21" i="22" s="1"/>
  <c r="I20" i="22" a="1"/>
  <c r="I20" i="22" s="1"/>
  <c r="I6" i="22" a="1"/>
  <c r="I6" i="22" s="1"/>
  <c r="I17" i="22" a="1"/>
  <c r="I17" i="22" s="1"/>
  <c r="I19" i="22" a="1"/>
  <c r="I19" i="22" s="1"/>
  <c r="I18" i="22" a="1"/>
  <c r="I18" i="22" s="1"/>
  <c r="I5" i="22" a="1"/>
  <c r="I5" i="22" s="1"/>
  <c r="I2" i="22" a="1"/>
  <c r="I2" i="22" s="1"/>
  <c r="I16" i="22" a="1"/>
  <c r="I16" i="22" s="1"/>
  <c r="I3" i="22" a="1"/>
  <c r="I3" i="22" s="1"/>
  <c r="I15" i="22" a="1"/>
  <c r="I15" i="22" s="1"/>
  <c r="I13" i="22" a="1"/>
  <c r="I13" i="22" s="1"/>
  <c r="I12" i="22" a="1"/>
  <c r="I12" i="22" s="1"/>
  <c r="I11" i="22" a="1"/>
  <c r="I11" i="22" s="1"/>
  <c r="I10" i="22" a="1"/>
  <c r="I10" i="22" s="1"/>
  <c r="I9" i="22" a="1"/>
  <c r="I9" i="22" s="1"/>
  <c r="I7" i="22" a="1"/>
  <c r="I7" i="22" s="1"/>
  <c r="I14" i="22" a="1"/>
  <c r="I14" i="22" s="1"/>
  <c r="I8" i="22" a="1"/>
  <c r="I8" i="22" s="1"/>
  <c r="I4" i="22" a="1"/>
  <c r="I4" i="22" s="1"/>
  <c r="I20" i="19" a="1"/>
  <c r="I20" i="19" s="1"/>
  <c r="I24" i="4"/>
  <c r="I27" i="19" a="1"/>
  <c r="I27" i="19" s="1"/>
  <c r="H27" i="19" a="1"/>
  <c r="H27" i="19" s="1"/>
  <c r="G27" i="19" a="1"/>
  <c r="G27" i="19" s="1"/>
  <c r="F27" i="19" a="1"/>
  <c r="F27" i="19" s="1"/>
  <c r="E27" i="19" a="1"/>
  <c r="E27" i="19" s="1"/>
  <c r="D27" i="19" a="1"/>
  <c r="D27" i="19" s="1"/>
  <c r="C27" i="19" a="1"/>
  <c r="C27" i="19" s="1"/>
  <c r="B27" i="19" a="1"/>
  <c r="B27" i="19" s="1"/>
  <c r="I26" i="19" a="1"/>
  <c r="I26" i="19" s="1"/>
  <c r="I23" i="19" a="1"/>
  <c r="I23" i="19" s="1"/>
  <c r="I25" i="19" a="1"/>
  <c r="I25" i="19" s="1"/>
  <c r="I24" i="19" a="1"/>
  <c r="I24" i="19" s="1"/>
  <c r="I22" i="19" a="1"/>
  <c r="I22" i="19" s="1"/>
  <c r="I21" i="19" a="1"/>
  <c r="I21" i="19" s="1"/>
  <c r="I11" i="19" a="1"/>
  <c r="I11" i="19" s="1"/>
  <c r="I18" i="19" a="1"/>
  <c r="I18" i="19" s="1"/>
  <c r="I17" i="19" a="1"/>
  <c r="I17" i="19" s="1"/>
  <c r="I12" i="19" a="1"/>
  <c r="I12" i="19" s="1"/>
  <c r="I19" i="19" a="1"/>
  <c r="I19" i="19" s="1"/>
  <c r="I7" i="19" a="1"/>
  <c r="I7" i="19" s="1"/>
  <c r="I10" i="19" a="1"/>
  <c r="I10" i="19" s="1"/>
  <c r="I16" i="19" a="1"/>
  <c r="I16" i="19" s="1"/>
  <c r="I15" i="19" a="1"/>
  <c r="I15" i="19" s="1"/>
  <c r="I13" i="19" a="1"/>
  <c r="I13" i="19" s="1"/>
  <c r="I3" i="19" a="1"/>
  <c r="I3" i="19" s="1"/>
  <c r="I9" i="19" a="1"/>
  <c r="I9" i="19" s="1"/>
  <c r="I4" i="19" a="1"/>
  <c r="I4" i="19" s="1"/>
  <c r="I6" i="19" a="1"/>
  <c r="I6" i="19" s="1"/>
  <c r="I8" i="19" a="1"/>
  <c r="I8" i="19" s="1"/>
  <c r="I5" i="19" a="1"/>
  <c r="I5" i="19" s="1"/>
  <c r="I14" i="19" a="1"/>
  <c r="I14" i="19" s="1"/>
  <c r="I2" i="19" a="1"/>
  <c r="I2" i="19" s="1"/>
  <c r="I26" i="18" a="1"/>
  <c r="I26" i="18" s="1"/>
  <c r="H26" i="18" a="1"/>
  <c r="H26" i="18" s="1"/>
  <c r="G26" i="18" a="1"/>
  <c r="G26" i="18" s="1"/>
  <c r="F26" i="18" a="1"/>
  <c r="F26" i="18" s="1"/>
  <c r="E26" i="18" a="1"/>
  <c r="E26" i="18" s="1"/>
  <c r="D26" i="18" a="1"/>
  <c r="D26" i="18" s="1"/>
  <c r="C26" i="18" a="1"/>
  <c r="C26" i="18" s="1"/>
  <c r="B26" i="18" a="1"/>
  <c r="B26" i="18" s="1"/>
  <c r="I25" i="18" a="1"/>
  <c r="I25" i="18" s="1"/>
  <c r="I22" i="18" a="1"/>
  <c r="I22" i="18" s="1"/>
  <c r="I21" i="18" a="1"/>
  <c r="I21" i="18" s="1"/>
  <c r="I24" i="18" a="1"/>
  <c r="I24" i="18" s="1"/>
  <c r="I23" i="18" a="1"/>
  <c r="I23" i="18" s="1"/>
  <c r="I20" i="18" a="1"/>
  <c r="I20" i="18" s="1"/>
  <c r="I18" i="18" a="1"/>
  <c r="I18" i="18" s="1"/>
  <c r="I10" i="18" a="1"/>
  <c r="I10" i="18" s="1"/>
  <c r="I16" i="18" a="1"/>
  <c r="I16" i="18" s="1"/>
  <c r="I12" i="18" a="1"/>
  <c r="I12" i="18" s="1"/>
  <c r="I17" i="18" a="1"/>
  <c r="I17" i="18" s="1"/>
  <c r="I19" i="18" a="1"/>
  <c r="I19" i="18" s="1"/>
  <c r="I15" i="18" a="1"/>
  <c r="I15" i="18" s="1"/>
  <c r="I14" i="18" a="1"/>
  <c r="I14" i="18" s="1"/>
  <c r="I9" i="18" a="1"/>
  <c r="I9" i="18" s="1"/>
  <c r="I8" i="18" a="1"/>
  <c r="I8" i="18" s="1"/>
  <c r="I4" i="18" a="1"/>
  <c r="I4" i="18" s="1"/>
  <c r="I3" i="18" a="1"/>
  <c r="I3" i="18" s="1"/>
  <c r="I11" i="18" a="1"/>
  <c r="I11" i="18" s="1"/>
  <c r="I13" i="18" a="1"/>
  <c r="I13" i="18" s="1"/>
  <c r="I7" i="18" a="1"/>
  <c r="I7" i="18" s="1"/>
  <c r="I2" i="18" a="1"/>
  <c r="I2" i="18" s="1"/>
  <c r="I5" i="18" a="1"/>
  <c r="I5" i="18" s="1"/>
  <c r="I6" i="18" a="1"/>
  <c r="I6" i="18" s="1"/>
  <c r="I14" i="16" a="1"/>
  <c r="I14" i="16" s="1"/>
  <c r="I24" i="16" a="1"/>
  <c r="I24" i="16" s="1"/>
  <c r="I26" i="16" a="1"/>
  <c r="I26" i="16" s="1"/>
  <c r="H26" i="16" a="1"/>
  <c r="H26" i="16" s="1"/>
  <c r="G26" i="16" a="1"/>
  <c r="G26" i="16" s="1"/>
  <c r="F26" i="16" a="1"/>
  <c r="F26" i="16" s="1"/>
  <c r="E26" i="16" a="1"/>
  <c r="E26" i="16" s="1"/>
  <c r="D26" i="16" a="1"/>
  <c r="D26" i="16" s="1"/>
  <c r="C26" i="16" a="1"/>
  <c r="C26" i="16" s="1"/>
  <c r="B26" i="16" a="1"/>
  <c r="B26" i="16" s="1"/>
  <c r="I25" i="16" a="1"/>
  <c r="I25" i="16" s="1"/>
  <c r="I21" i="16" a="1"/>
  <c r="I21" i="16" s="1"/>
  <c r="I22" i="16" a="1"/>
  <c r="I22" i="16" s="1"/>
  <c r="I20" i="16" a="1"/>
  <c r="I20" i="16" s="1"/>
  <c r="I23" i="16" a="1"/>
  <c r="I23" i="16" s="1"/>
  <c r="I16" i="16" a="1"/>
  <c r="I16" i="16" s="1"/>
  <c r="I12" i="16" a="1"/>
  <c r="I12" i="16" s="1"/>
  <c r="I8" i="16" a="1"/>
  <c r="I8" i="16" s="1"/>
  <c r="I15" i="16" a="1"/>
  <c r="I15" i="16" s="1"/>
  <c r="I19" i="16" a="1"/>
  <c r="I19" i="16" s="1"/>
  <c r="I18" i="16" a="1"/>
  <c r="I18" i="16" s="1"/>
  <c r="I17" i="16" a="1"/>
  <c r="I17" i="16" s="1"/>
  <c r="I13" i="16" a="1"/>
  <c r="I13" i="16" s="1"/>
  <c r="I2" i="16" a="1"/>
  <c r="I2" i="16" s="1"/>
  <c r="I4" i="16" a="1"/>
  <c r="I4" i="16" s="1"/>
  <c r="I10" i="16" a="1"/>
  <c r="I10" i="16" s="1"/>
  <c r="I9" i="16" a="1"/>
  <c r="I9" i="16" s="1"/>
  <c r="I11" i="16" a="1"/>
  <c r="I11" i="16" s="1"/>
  <c r="I7" i="16" a="1"/>
  <c r="I7" i="16" s="1"/>
  <c r="I6" i="16" a="1"/>
  <c r="I6" i="16" s="1"/>
  <c r="I3" i="16" a="1"/>
  <c r="I3" i="16" s="1"/>
  <c r="I5" i="16" a="1"/>
  <c r="I5" i="16" s="1"/>
  <c r="I12" i="14" a="1"/>
  <c r="I12" i="14" s="1"/>
  <c r="I24" i="14" a="1"/>
  <c r="I24" i="14" s="1"/>
  <c r="H24" i="14" a="1"/>
  <c r="H24" i="14" s="1"/>
  <c r="G24" i="14" a="1"/>
  <c r="G24" i="14" s="1"/>
  <c r="F24" i="14" a="1"/>
  <c r="F24" i="14" s="1"/>
  <c r="E24" i="14" a="1"/>
  <c r="E24" i="14" s="1"/>
  <c r="D24" i="14" a="1"/>
  <c r="D24" i="14" s="1"/>
  <c r="C24" i="14" a="1"/>
  <c r="C24" i="14" s="1"/>
  <c r="B24" i="14" a="1"/>
  <c r="B24" i="14" s="1"/>
  <c r="I19" i="14" a="1"/>
  <c r="I19" i="14" s="1"/>
  <c r="I23" i="14" a="1"/>
  <c r="I23" i="14" s="1"/>
  <c r="I22" i="14" a="1"/>
  <c r="I22" i="14" s="1"/>
  <c r="I21" i="14" a="1"/>
  <c r="I21" i="14" s="1"/>
  <c r="I20" i="14" a="1"/>
  <c r="I20" i="14" s="1"/>
  <c r="I11" i="14" a="1"/>
  <c r="I11" i="14" s="1"/>
  <c r="I13" i="14" a="1"/>
  <c r="I13" i="14" s="1"/>
  <c r="I3" i="14" a="1"/>
  <c r="I3" i="14" s="1"/>
  <c r="I5" i="14" a="1"/>
  <c r="I5" i="14" s="1"/>
  <c r="I4" i="14" a="1"/>
  <c r="I4" i="14" s="1"/>
  <c r="I9" i="14" a="1"/>
  <c r="I9" i="14" s="1"/>
  <c r="I18" i="14" a="1"/>
  <c r="I18" i="14" s="1"/>
  <c r="I17" i="14" a="1"/>
  <c r="I17" i="14" s="1"/>
  <c r="I16" i="14" a="1"/>
  <c r="I16" i="14" s="1"/>
  <c r="I6" i="14" a="1"/>
  <c r="I6" i="14" s="1"/>
  <c r="I14" i="14" a="1"/>
  <c r="I14" i="14" s="1"/>
  <c r="I10" i="14" a="1"/>
  <c r="I10" i="14" s="1"/>
  <c r="I7" i="14" a="1"/>
  <c r="I7" i="14" s="1"/>
  <c r="I2" i="14" a="1"/>
  <c r="I2" i="14" s="1"/>
  <c r="I8" i="14" a="1"/>
  <c r="I8" i="14" s="1"/>
  <c r="I15" i="14" a="1"/>
  <c r="I15" i="14" s="1"/>
  <c r="I23" i="13" a="1"/>
  <c r="I23" i="13" s="1"/>
  <c r="H23" i="13" a="1"/>
  <c r="H23" i="13" s="1"/>
  <c r="G23" i="13" a="1"/>
  <c r="G23" i="13" s="1"/>
  <c r="F23" i="13" a="1"/>
  <c r="F23" i="13" s="1"/>
  <c r="E23" i="13" a="1"/>
  <c r="E23" i="13" s="1"/>
  <c r="D23" i="13" a="1"/>
  <c r="D23" i="13" s="1"/>
  <c r="C23" i="13" a="1"/>
  <c r="C23" i="13" s="1"/>
  <c r="B23" i="13" a="1"/>
  <c r="B23" i="13" s="1"/>
  <c r="I22" i="13" a="1"/>
  <c r="I22" i="13" s="1"/>
  <c r="I21" i="13" a="1"/>
  <c r="I21" i="13" s="1"/>
  <c r="I17" i="13" a="1"/>
  <c r="I17" i="13" s="1"/>
  <c r="I20" i="13" a="1"/>
  <c r="I20" i="13" s="1"/>
  <c r="I19" i="13" a="1"/>
  <c r="I19" i="13" s="1"/>
  <c r="I18" i="13" a="1"/>
  <c r="I18" i="13" s="1"/>
  <c r="I10" i="13" a="1"/>
  <c r="I10" i="13" s="1"/>
  <c r="I12" i="13" a="1"/>
  <c r="I12" i="13" s="1"/>
  <c r="I14" i="13" a="1"/>
  <c r="I14" i="13" s="1"/>
  <c r="I4" i="13" a="1"/>
  <c r="I4" i="13" s="1"/>
  <c r="I15" i="13" a="1"/>
  <c r="I15" i="13" s="1"/>
  <c r="I2" i="13" a="1"/>
  <c r="I2" i="13" s="1"/>
  <c r="I7" i="13" a="1"/>
  <c r="I7" i="13" s="1"/>
  <c r="I16" i="13" a="1"/>
  <c r="I16" i="13" s="1"/>
  <c r="I9" i="13" a="1"/>
  <c r="I9" i="13" s="1"/>
  <c r="I8" i="13" a="1"/>
  <c r="I8" i="13" s="1"/>
  <c r="I13" i="13" a="1"/>
  <c r="I13" i="13" s="1"/>
  <c r="I11" i="13" a="1"/>
  <c r="I11" i="13" s="1"/>
  <c r="I6" i="13" a="1"/>
  <c r="I6" i="13" s="1"/>
  <c r="I5" i="13" a="1"/>
  <c r="I5" i="13" s="1"/>
  <c r="I3" i="13" a="1"/>
  <c r="I3" i="13" s="1"/>
  <c r="I16" i="12" a="1"/>
  <c r="I16" i="12" s="1"/>
  <c r="I17" i="12" a="1"/>
  <c r="I17" i="12" s="1"/>
  <c r="I25" i="12" a="1"/>
  <c r="I25" i="12" s="1"/>
  <c r="H25" i="12" a="1"/>
  <c r="H25" i="12" s="1"/>
  <c r="G25" i="12" a="1"/>
  <c r="G25" i="12" s="1"/>
  <c r="F25" i="12" a="1"/>
  <c r="F25" i="12" s="1"/>
  <c r="E25" i="12" a="1"/>
  <c r="E25" i="12" s="1"/>
  <c r="D25" i="12" a="1"/>
  <c r="D25" i="12" s="1"/>
  <c r="C25" i="12" a="1"/>
  <c r="C25" i="12" s="1"/>
  <c r="B25" i="12" a="1"/>
  <c r="B25" i="12" s="1"/>
  <c r="I24" i="12" a="1"/>
  <c r="I24" i="12" s="1"/>
  <c r="I20" i="12" a="1"/>
  <c r="I20" i="12" s="1"/>
  <c r="I23" i="12" a="1"/>
  <c r="I23" i="12" s="1"/>
  <c r="I22" i="12" a="1"/>
  <c r="I22" i="12" s="1"/>
  <c r="I19" i="12" a="1"/>
  <c r="I19" i="12" s="1"/>
  <c r="I21" i="12" a="1"/>
  <c r="I21" i="12" s="1"/>
  <c r="I18" i="12" a="1"/>
  <c r="I18" i="12" s="1"/>
  <c r="I8" i="12" a="1"/>
  <c r="I8" i="12" s="1"/>
  <c r="I13" i="12" a="1"/>
  <c r="I13" i="12" s="1"/>
  <c r="I4" i="12" a="1"/>
  <c r="I4" i="12" s="1"/>
  <c r="I12" i="12" a="1"/>
  <c r="I12" i="12" s="1"/>
  <c r="I9" i="12" a="1"/>
  <c r="I9" i="12" s="1"/>
  <c r="I15" i="12" a="1"/>
  <c r="I15" i="12" s="1"/>
  <c r="I14" i="12" a="1"/>
  <c r="I14" i="12" s="1"/>
  <c r="I10" i="12" a="1"/>
  <c r="I10" i="12" s="1"/>
  <c r="I11" i="12" a="1"/>
  <c r="I11" i="12" s="1"/>
  <c r="I2" i="12" a="1"/>
  <c r="I2" i="12" s="1"/>
  <c r="I3" i="12" a="1"/>
  <c r="I3" i="12" s="1"/>
  <c r="I6" i="12" a="1"/>
  <c r="I6" i="12" s="1"/>
  <c r="I7" i="12" a="1"/>
  <c r="I7" i="12" s="1"/>
  <c r="I5" i="12" a="1"/>
  <c r="I5" i="12" s="1"/>
  <c r="I13" i="11" a="1"/>
  <c r="I13" i="11" s="1"/>
  <c r="I14" i="11" a="1"/>
  <c r="I14" i="11" s="1"/>
  <c r="I15" i="11" a="1"/>
  <c r="I15" i="11" s="1"/>
  <c r="I23" i="11" a="1"/>
  <c r="I23" i="11" s="1"/>
  <c r="I27" i="11" a="1"/>
  <c r="I27" i="11" s="1"/>
  <c r="H27" i="11" a="1"/>
  <c r="H27" i="11" s="1"/>
  <c r="G27" i="11" a="1"/>
  <c r="G27" i="11" s="1"/>
  <c r="F27" i="11" a="1"/>
  <c r="F27" i="11" s="1"/>
  <c r="E27" i="11" a="1"/>
  <c r="E27" i="11" s="1"/>
  <c r="D27" i="11" a="1"/>
  <c r="D27" i="11" s="1"/>
  <c r="C27" i="11" a="1"/>
  <c r="C27" i="11" s="1"/>
  <c r="B27" i="11" a="1"/>
  <c r="B27" i="11" s="1"/>
  <c r="I26" i="11" a="1"/>
  <c r="I26" i="11" s="1"/>
  <c r="I22" i="11" a="1"/>
  <c r="I22" i="11" s="1"/>
  <c r="I20" i="11" a="1"/>
  <c r="I20" i="11" s="1"/>
  <c r="I25" i="11" a="1"/>
  <c r="I25" i="11" s="1"/>
  <c r="I24" i="11" a="1"/>
  <c r="I24" i="11" s="1"/>
  <c r="I19" i="11" a="1"/>
  <c r="I19" i="11" s="1"/>
  <c r="I18" i="11" a="1"/>
  <c r="I18" i="11" s="1"/>
  <c r="I17" i="11" a="1"/>
  <c r="I17" i="11" s="1"/>
  <c r="I16" i="11" a="1"/>
  <c r="I16" i="11" s="1"/>
  <c r="I21" i="11" a="1"/>
  <c r="I21" i="11" s="1"/>
  <c r="I12" i="11" a="1"/>
  <c r="I12" i="11" s="1"/>
  <c r="I9" i="11" a="1"/>
  <c r="I9" i="11" s="1"/>
  <c r="I7" i="11" a="1"/>
  <c r="I7" i="11" s="1"/>
  <c r="I5" i="11" a="1"/>
  <c r="I5" i="11" s="1"/>
  <c r="I10" i="11" a="1"/>
  <c r="I10" i="11" s="1"/>
  <c r="I8" i="11" a="1"/>
  <c r="I8" i="11" s="1"/>
  <c r="I3" i="11" a="1"/>
  <c r="I3" i="11" s="1"/>
  <c r="I11" i="11" a="1"/>
  <c r="I11" i="11" s="1"/>
  <c r="I2" i="11" a="1"/>
  <c r="I2" i="11" s="1"/>
  <c r="I6" i="11" a="1"/>
  <c r="I6" i="11" s="1"/>
  <c r="I4" i="11" a="1"/>
  <c r="I4" i="11" s="1"/>
  <c r="I24" i="10" a="1"/>
  <c r="I24" i="10" s="1"/>
  <c r="H24" i="10" a="1"/>
  <c r="H24" i="10" s="1"/>
  <c r="G24" i="10" a="1"/>
  <c r="G24" i="10" s="1"/>
  <c r="F24" i="10" a="1"/>
  <c r="F24" i="10" s="1"/>
  <c r="E24" i="10" a="1"/>
  <c r="E24" i="10" s="1"/>
  <c r="D24" i="10" a="1"/>
  <c r="D24" i="10" s="1"/>
  <c r="C24" i="10" a="1"/>
  <c r="C24" i="10" s="1"/>
  <c r="B24" i="10" a="1"/>
  <c r="B24" i="10" s="1"/>
  <c r="I20" i="10" a="1"/>
  <c r="I20" i="10" s="1"/>
  <c r="I22" i="10" a="1"/>
  <c r="I22" i="10" s="1"/>
  <c r="I23" i="10" a="1"/>
  <c r="I23" i="10" s="1"/>
  <c r="I12" i="10" a="1"/>
  <c r="I12" i="10" s="1"/>
  <c r="I18" i="10" a="1"/>
  <c r="I18" i="10" s="1"/>
  <c r="I19" i="10" a="1"/>
  <c r="I19" i="10" s="1"/>
  <c r="I14" i="10" a="1"/>
  <c r="I14" i="10" s="1"/>
  <c r="I4" i="10" a="1"/>
  <c r="I4" i="10" s="1"/>
  <c r="I9" i="10" a="1"/>
  <c r="I9" i="10" s="1"/>
  <c r="I17" i="10" a="1"/>
  <c r="I17" i="10" s="1"/>
  <c r="I21" i="10" a="1"/>
  <c r="I21" i="10" s="1"/>
  <c r="I10" i="10" a="1"/>
  <c r="I10" i="10" s="1"/>
  <c r="I8" i="10" a="1"/>
  <c r="I8" i="10" s="1"/>
  <c r="I11" i="10" a="1"/>
  <c r="I11" i="10" s="1"/>
  <c r="I2" i="10" a="1"/>
  <c r="I2" i="10" s="1"/>
  <c r="I6" i="10" a="1"/>
  <c r="I6" i="10" s="1"/>
  <c r="I16" i="10" a="1"/>
  <c r="I16" i="10" s="1"/>
  <c r="I7" i="10" a="1"/>
  <c r="I7" i="10" s="1"/>
  <c r="I15" i="10" a="1"/>
  <c r="I15" i="10" s="1"/>
  <c r="I5" i="10" a="1"/>
  <c r="I5" i="10" s="1"/>
  <c r="I3" i="10" a="1"/>
  <c r="I3" i="10" s="1"/>
  <c r="I13" i="10" a="1"/>
  <c r="I13" i="10" s="1"/>
  <c r="I27" i="7" a="1"/>
  <c r="I27" i="7" s="1"/>
  <c r="I25" i="7" a="1"/>
  <c r="I25" i="7" s="1"/>
  <c r="I4" i="7" a="1"/>
  <c r="I4" i="7" s="1"/>
  <c r="I16" i="7" a="1"/>
  <c r="I16" i="7" s="1"/>
  <c r="H27" i="7" a="1"/>
  <c r="H27" i="7" s="1"/>
  <c r="G27" i="7" a="1"/>
  <c r="G27" i="7" s="1"/>
  <c r="F27" i="7" a="1"/>
  <c r="F27" i="7" s="1"/>
  <c r="E27" i="7" a="1"/>
  <c r="E27" i="7" s="1"/>
  <c r="D27" i="7" a="1"/>
  <c r="D27" i="7" s="1"/>
  <c r="C27" i="7" a="1"/>
  <c r="C27" i="7" s="1"/>
  <c r="B27" i="7" a="1"/>
  <c r="B27" i="7" s="1"/>
  <c r="I26" i="7" a="1"/>
  <c r="I26" i="7" s="1"/>
  <c r="I24" i="7" a="1"/>
  <c r="I24" i="7" s="1"/>
  <c r="I23" i="7" a="1"/>
  <c r="I23" i="7" s="1"/>
  <c r="I20" i="7" a="1"/>
  <c r="I20" i="7" s="1"/>
  <c r="I19" i="7" a="1"/>
  <c r="I19" i="7" s="1"/>
  <c r="I21" i="7" a="1"/>
  <c r="I21" i="7" s="1"/>
  <c r="I22" i="7" a="1"/>
  <c r="I22" i="7" s="1"/>
  <c r="I7" i="7" a="1"/>
  <c r="I7" i="7" s="1"/>
  <c r="I5" i="7" a="1"/>
  <c r="I5" i="7" s="1"/>
  <c r="I13" i="7" a="1"/>
  <c r="I13" i="7" s="1"/>
  <c r="I18" i="7" a="1"/>
  <c r="I18" i="7" s="1"/>
  <c r="I10" i="7" a="1"/>
  <c r="I10" i="7" s="1"/>
  <c r="I17" i="7" a="1"/>
  <c r="I17" i="7" s="1"/>
  <c r="I14" i="7" a="1"/>
  <c r="I14" i="7" s="1"/>
  <c r="I6" i="7" a="1"/>
  <c r="I6" i="7" s="1"/>
  <c r="I11" i="7" a="1"/>
  <c r="I11" i="7" s="1"/>
  <c r="I12" i="7" a="1"/>
  <c r="I12" i="7" s="1"/>
  <c r="I15" i="7" a="1"/>
  <c r="I15" i="7" s="1"/>
  <c r="I9" i="7" a="1"/>
  <c r="I9" i="7" s="1"/>
  <c r="I2" i="7" a="1"/>
  <c r="I2" i="7" s="1"/>
  <c r="I3" i="7" a="1"/>
  <c r="I3" i="7" s="1"/>
  <c r="I8" i="7" a="1"/>
  <c r="I8" i="7" s="1"/>
  <c r="C25" i="6" a="1"/>
  <c r="C25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B25" i="6" a="1"/>
  <c r="B25" i="6" s="1"/>
  <c r="I4" i="6" a="1"/>
  <c r="I4" i="6" s="1"/>
  <c r="I5" i="6" a="1"/>
  <c r="I5" i="6" s="1"/>
  <c r="I7" i="6" a="1"/>
  <c r="I7" i="6" s="1"/>
  <c r="I9" i="6" a="1"/>
  <c r="I9" i="6" s="1"/>
  <c r="I10" i="6" a="1"/>
  <c r="I10" i="6" s="1"/>
  <c r="I8" i="6" a="1"/>
  <c r="I8" i="6" s="1"/>
  <c r="I3" i="6" a="1"/>
  <c r="I3" i="6" s="1"/>
  <c r="I15" i="6" a="1"/>
  <c r="I15" i="6" s="1"/>
  <c r="I14" i="6" a="1"/>
  <c r="I14" i="6" s="1"/>
  <c r="I6" i="6" a="1"/>
  <c r="I6" i="6" s="1"/>
  <c r="I13" i="6" a="1"/>
  <c r="I13" i="6" s="1"/>
  <c r="I12" i="6" a="1"/>
  <c r="I12" i="6" s="1"/>
  <c r="I18" i="6" a="1"/>
  <c r="I18" i="6" s="1"/>
  <c r="I20" i="6" a="1"/>
  <c r="I20" i="6" s="1"/>
  <c r="I2" i="6" a="1"/>
  <c r="I2" i="6" s="1"/>
  <c r="I22" i="6" a="1"/>
  <c r="I22" i="6" s="1"/>
  <c r="I23" i="6" a="1"/>
  <c r="I23" i="6" s="1"/>
  <c r="I21" i="6" a="1"/>
  <c r="I21" i="6" s="1"/>
  <c r="I16" i="6" a="1"/>
  <c r="I16" i="6" s="1"/>
  <c r="I19" i="6" a="1"/>
  <c r="I19" i="6" s="1"/>
  <c r="I17" i="6" a="1"/>
  <c r="I17" i="6" s="1"/>
  <c r="I24" i="6" a="1"/>
  <c r="I24" i="6" s="1"/>
  <c r="I11" i="6" a="1"/>
  <c r="I11" i="6" s="1"/>
  <c r="I26" i="5"/>
  <c r="I13" i="5"/>
  <c r="I9" i="5"/>
  <c r="I8" i="5"/>
  <c r="I23" i="5"/>
  <c r="I7" i="5"/>
  <c r="I20" i="5"/>
  <c r="I24" i="5"/>
  <c r="H28" i="5"/>
  <c r="G28" i="5"/>
  <c r="F28" i="5"/>
  <c r="E28" i="5"/>
  <c r="D28" i="5"/>
  <c r="C28" i="5"/>
  <c r="B28" i="5"/>
  <c r="I22" i="5"/>
  <c r="I25" i="5"/>
  <c r="I19" i="5"/>
  <c r="I18" i="5"/>
  <c r="I27" i="5"/>
  <c r="I21" i="5"/>
  <c r="I17" i="5"/>
  <c r="I4" i="5"/>
  <c r="I11" i="5"/>
  <c r="I14" i="5"/>
  <c r="I6" i="5"/>
  <c r="I10" i="5"/>
  <c r="I2" i="5"/>
  <c r="I3" i="5"/>
  <c r="I16" i="5"/>
  <c r="I5" i="5"/>
  <c r="I15" i="5"/>
  <c r="I12" i="5"/>
  <c r="I20" i="4"/>
  <c r="I10" i="4"/>
  <c r="H24" i="4"/>
  <c r="G24" i="4"/>
  <c r="F24" i="4"/>
  <c r="E24" i="4"/>
  <c r="D24" i="4"/>
  <c r="C24" i="4"/>
  <c r="B24" i="4"/>
  <c r="I17" i="4"/>
  <c r="I22" i="4"/>
  <c r="I13" i="4"/>
  <c r="I12" i="4"/>
  <c r="I19" i="4"/>
  <c r="I23" i="4"/>
  <c r="I9" i="4"/>
  <c r="I8" i="4"/>
  <c r="I21" i="4"/>
  <c r="I18" i="4"/>
  <c r="I2" i="4"/>
  <c r="I7" i="4"/>
  <c r="I16" i="4"/>
  <c r="I15" i="4"/>
  <c r="I14" i="4"/>
  <c r="I6" i="4"/>
  <c r="I5" i="4"/>
  <c r="I11" i="4"/>
  <c r="I4" i="4"/>
  <c r="I3" i="4"/>
  <c r="I18" i="2"/>
  <c r="I20" i="2"/>
  <c r="H19" i="3"/>
  <c r="G19" i="3"/>
  <c r="F19" i="3"/>
  <c r="E19" i="3"/>
  <c r="D19" i="3"/>
  <c r="C19" i="3"/>
  <c r="B19" i="3"/>
  <c r="I18" i="3"/>
  <c r="I17" i="3"/>
  <c r="I16" i="3"/>
  <c r="I14" i="3"/>
  <c r="I9" i="3"/>
  <c r="I13" i="3"/>
  <c r="I15" i="3"/>
  <c r="I12" i="3"/>
  <c r="I8" i="3"/>
  <c r="I7" i="3"/>
  <c r="I11" i="3"/>
  <c r="I10" i="3"/>
  <c r="I6" i="3"/>
  <c r="I19" i="3" s="1"/>
  <c r="I5" i="3"/>
  <c r="I4" i="3"/>
  <c r="I3" i="3"/>
  <c r="I2" i="3"/>
  <c r="H23" i="2"/>
  <c r="G23" i="2"/>
  <c r="F23" i="2"/>
  <c r="E23" i="2"/>
  <c r="D23" i="2"/>
  <c r="C23" i="2"/>
  <c r="B23" i="2"/>
  <c r="I21" i="2"/>
  <c r="I22" i="2"/>
  <c r="I5" i="2"/>
  <c r="I19" i="2"/>
  <c r="I8" i="2"/>
  <c r="I13" i="2"/>
  <c r="I12" i="2"/>
  <c r="I23" i="2" s="1"/>
  <c r="I15" i="2"/>
  <c r="I7" i="2"/>
  <c r="I3" i="2"/>
  <c r="I6" i="2"/>
  <c r="I2" i="2"/>
  <c r="I17" i="2"/>
  <c r="I9" i="2"/>
  <c r="I4" i="2"/>
  <c r="I11" i="2"/>
  <c r="I16" i="2"/>
  <c r="I14" i="2"/>
  <c r="I10" i="2"/>
  <c r="C20" i="1"/>
  <c r="D20" i="1"/>
  <c r="E20" i="1"/>
  <c r="F20" i="1"/>
  <c r="G20" i="1"/>
  <c r="H20" i="1"/>
  <c r="B20" i="1"/>
  <c r="I17" i="1"/>
  <c r="I16" i="1"/>
  <c r="I15" i="1"/>
  <c r="I4" i="1"/>
  <c r="I8" i="1"/>
  <c r="I5" i="1"/>
  <c r="I9" i="1"/>
  <c r="I10" i="1"/>
  <c r="I6" i="1"/>
  <c r="I12" i="1"/>
  <c r="I7" i="1"/>
  <c r="I11" i="1"/>
  <c r="I3" i="1"/>
  <c r="I13" i="1"/>
  <c r="I14" i="1"/>
  <c r="I19" i="1"/>
  <c r="I18" i="1"/>
  <c r="I2" i="1"/>
  <c r="I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<sst xmlns="http://schemas.openxmlformats.org/spreadsheetml/2006/main" count="1894" uniqueCount="243">
  <si>
    <t>밋</t>
    <phoneticPr fontId="1" type="noConversion"/>
  </si>
  <si>
    <t>으익</t>
    <phoneticPr fontId="1" type="noConversion"/>
  </si>
  <si>
    <t>리즈</t>
    <phoneticPr fontId="1" type="noConversion"/>
  </si>
  <si>
    <t>자자</t>
    <phoneticPr fontId="1" type="noConversion"/>
  </si>
  <si>
    <t>어묵</t>
    <phoneticPr fontId="1" type="noConversion"/>
  </si>
  <si>
    <t>여섯열셋</t>
    <phoneticPr fontId="1" type="noConversion"/>
  </si>
  <si>
    <t>sajae</t>
    <phoneticPr fontId="1" type="noConversion"/>
  </si>
  <si>
    <t>신호</t>
    <phoneticPr fontId="1" type="noConversion"/>
  </si>
  <si>
    <t>별모알</t>
    <phoneticPr fontId="1" type="noConversion"/>
  </si>
  <si>
    <t>센만경</t>
    <phoneticPr fontId="1" type="noConversion"/>
  </si>
  <si>
    <t>쿳</t>
    <phoneticPr fontId="1" type="noConversion"/>
  </si>
  <si>
    <t>룻</t>
    <phoneticPr fontId="1" type="noConversion"/>
  </si>
  <si>
    <t>네리으</t>
    <phoneticPr fontId="1" type="noConversion"/>
  </si>
  <si>
    <t>저격</t>
    <phoneticPr fontId="1" type="noConversion"/>
  </si>
  <si>
    <t>수상</t>
    <phoneticPr fontId="1" type="noConversion"/>
  </si>
  <si>
    <t>건반윤</t>
    <phoneticPr fontId="1" type="noConversion"/>
  </si>
  <si>
    <t>배그잘합니다</t>
    <phoneticPr fontId="1" type="noConversion"/>
  </si>
  <si>
    <t>합산</t>
    <phoneticPr fontId="1" type="noConversion"/>
  </si>
  <si>
    <t>고유결</t>
    <phoneticPr fontId="1" type="noConversion"/>
  </si>
  <si>
    <t>밴슨분</t>
    <phoneticPr fontId="1" type="noConversion"/>
  </si>
  <si>
    <t>비고</t>
    <phoneticPr fontId="1" type="noConversion"/>
  </si>
  <si>
    <t>길탈</t>
    <phoneticPr fontId="1" type="noConversion"/>
  </si>
  <si>
    <t>송나봄</t>
    <phoneticPr fontId="1" type="noConversion"/>
  </si>
  <si>
    <t>배그</t>
    <phoneticPr fontId="1" type="noConversion"/>
  </si>
  <si>
    <t>벽묻피</t>
    <phoneticPr fontId="1" type="noConversion"/>
  </si>
  <si>
    <t>봄풀</t>
    <phoneticPr fontId="1" type="noConversion"/>
  </si>
  <si>
    <t>페력</t>
    <phoneticPr fontId="1" type="noConversion"/>
  </si>
  <si>
    <t>주 4회만 가능하다 함</t>
    <phoneticPr fontId="1" type="noConversion"/>
  </si>
  <si>
    <t>14일 길갑</t>
    <phoneticPr fontId="1" type="noConversion"/>
  </si>
  <si>
    <t>15일 길갑</t>
    <phoneticPr fontId="1" type="noConversion"/>
  </si>
  <si>
    <t>18일 길갑</t>
    <phoneticPr fontId="1" type="noConversion"/>
  </si>
  <si>
    <t>햇닢</t>
    <phoneticPr fontId="1" type="noConversion"/>
  </si>
  <si>
    <t>셰나</t>
    <phoneticPr fontId="1" type="noConversion"/>
  </si>
  <si>
    <t>흐흉(쿠노예)</t>
    <phoneticPr fontId="1" type="noConversion"/>
  </si>
  <si>
    <t>벳새</t>
    <phoneticPr fontId="1" type="noConversion"/>
  </si>
  <si>
    <t>23일 길갑</t>
    <phoneticPr fontId="1" type="noConversion"/>
  </si>
  <si>
    <t>길탈</t>
    <phoneticPr fontId="1" type="noConversion"/>
  </si>
  <si>
    <t>1uvmax</t>
    <phoneticPr fontId="1" type="noConversion"/>
  </si>
  <si>
    <t>힘줄절단</t>
    <phoneticPr fontId="1" type="noConversion"/>
  </si>
  <si>
    <t>헌트릭스</t>
    <phoneticPr fontId="1" type="noConversion"/>
  </si>
  <si>
    <t>안키움이름</t>
    <phoneticPr fontId="1" type="noConversion"/>
  </si>
  <si>
    <t>군대</t>
    <phoneticPr fontId="1" type="noConversion"/>
  </si>
  <si>
    <t>3/7나눠서</t>
    <phoneticPr fontId="1" type="noConversion"/>
  </si>
  <si>
    <t>4번만 가능</t>
    <phoneticPr fontId="1" type="noConversion"/>
  </si>
  <si>
    <t>야자</t>
    <phoneticPr fontId="1" type="noConversion"/>
  </si>
  <si>
    <t>정지</t>
    <phoneticPr fontId="1" type="noConversion"/>
  </si>
  <si>
    <t>자자[위인]</t>
    <phoneticPr fontId="1" type="noConversion"/>
  </si>
  <si>
    <t>W</t>
    <phoneticPr fontId="1" type="noConversion"/>
  </si>
  <si>
    <t>L</t>
    <phoneticPr fontId="1" type="noConversion"/>
  </si>
  <si>
    <t>LL</t>
    <phoneticPr fontId="1" type="noConversion"/>
  </si>
  <si>
    <t>합산 (승률)</t>
    <phoneticPr fontId="1" type="noConversion"/>
  </si>
  <si>
    <t>큡에</t>
    <phoneticPr fontId="1" type="noConversion"/>
  </si>
  <si>
    <t>아이베넷</t>
    <phoneticPr fontId="1" type="noConversion"/>
  </si>
  <si>
    <t>L</t>
    <phoneticPr fontId="1" type="noConversion"/>
  </si>
  <si>
    <t>W</t>
    <phoneticPr fontId="1" type="noConversion"/>
  </si>
  <si>
    <t>별모알(앵무관찰자)</t>
    <phoneticPr fontId="1" type="noConversion"/>
  </si>
  <si>
    <t>11일 길갑</t>
    <phoneticPr fontId="1" type="noConversion"/>
  </si>
  <si>
    <t>합산 (승률)</t>
    <phoneticPr fontId="1" type="noConversion"/>
  </si>
  <si>
    <t>W</t>
    <phoneticPr fontId="1" type="noConversion"/>
  </si>
  <si>
    <t>L</t>
    <phoneticPr fontId="1" type="noConversion"/>
  </si>
  <si>
    <t>W</t>
    <phoneticPr fontId="1" type="noConversion"/>
  </si>
  <si>
    <t>L</t>
    <phoneticPr fontId="1" type="noConversion"/>
  </si>
  <si>
    <t>에피</t>
    <phoneticPr fontId="1" type="noConversion"/>
  </si>
  <si>
    <t>건네</t>
    <phoneticPr fontId="1" type="noConversion"/>
  </si>
  <si>
    <t>17일 길갑</t>
    <phoneticPr fontId="1" type="noConversion"/>
  </si>
  <si>
    <t>4판 가능</t>
    <phoneticPr fontId="1" type="noConversion"/>
  </si>
  <si>
    <t>W</t>
    <phoneticPr fontId="1" type="noConversion"/>
  </si>
  <si>
    <t>WW</t>
    <phoneticPr fontId="1" type="noConversion"/>
  </si>
  <si>
    <t>L</t>
    <phoneticPr fontId="1" type="noConversion"/>
  </si>
  <si>
    <t>3~4번 가능</t>
    <phoneticPr fontId="1" type="noConversion"/>
  </si>
  <si>
    <t>정지</t>
    <phoneticPr fontId="1" type="noConversion"/>
  </si>
  <si>
    <t>W</t>
    <phoneticPr fontId="1" type="noConversion"/>
  </si>
  <si>
    <t>L</t>
    <phoneticPr fontId="1" type="noConversion"/>
  </si>
  <si>
    <t>L</t>
    <phoneticPr fontId="1" type="noConversion"/>
  </si>
  <si>
    <t>W</t>
    <phoneticPr fontId="1" type="noConversion"/>
  </si>
  <si>
    <t>WL</t>
    <phoneticPr fontId="1" type="noConversion"/>
  </si>
  <si>
    <t>WW</t>
    <phoneticPr fontId="1" type="noConversion"/>
  </si>
  <si>
    <t>L</t>
    <phoneticPr fontId="1" type="noConversion"/>
  </si>
  <si>
    <t>W</t>
    <phoneticPr fontId="1" type="noConversion"/>
  </si>
  <si>
    <t>WW</t>
    <phoneticPr fontId="1" type="noConversion"/>
  </si>
  <si>
    <t>정지 ~4/2</t>
    <phoneticPr fontId="1" type="noConversion"/>
  </si>
  <si>
    <t>3/27 정지</t>
    <phoneticPr fontId="1" type="noConversion"/>
  </si>
  <si>
    <t>3일 미접[정지?]</t>
    <phoneticPr fontId="1" type="noConversion"/>
  </si>
  <si>
    <t>WL</t>
    <phoneticPr fontId="1" type="noConversion"/>
  </si>
  <si>
    <t>반쪽</t>
    <phoneticPr fontId="1" type="noConversion"/>
  </si>
  <si>
    <t>적류화</t>
    <phoneticPr fontId="1" type="noConversion"/>
  </si>
  <si>
    <t>어때</t>
    <phoneticPr fontId="1" type="noConversion"/>
  </si>
  <si>
    <t>홍힠</t>
    <phoneticPr fontId="1" type="noConversion"/>
  </si>
  <si>
    <t>4/3일 가입-&gt;4/4 길탈</t>
    <phoneticPr fontId="1" type="noConversion"/>
  </si>
  <si>
    <t>명유</t>
    <phoneticPr fontId="1" type="noConversion"/>
  </si>
  <si>
    <t>야자</t>
    <phoneticPr fontId="1" type="noConversion"/>
  </si>
  <si>
    <t>야자, 길랭방 나감</t>
    <phoneticPr fontId="1" type="noConversion"/>
  </si>
  <si>
    <t>L</t>
    <phoneticPr fontId="1" type="noConversion"/>
  </si>
  <si>
    <t>W</t>
    <phoneticPr fontId="1" type="noConversion"/>
  </si>
  <si>
    <t>WL</t>
    <phoneticPr fontId="1" type="noConversion"/>
  </si>
  <si>
    <t>LL</t>
    <phoneticPr fontId="1" type="noConversion"/>
  </si>
  <si>
    <t>3/7나눠서하기로 했는데 저번주 6번</t>
    <phoneticPr fontId="1" type="noConversion"/>
  </si>
  <si>
    <t>4월 6일</t>
    <phoneticPr fontId="1" type="noConversion"/>
  </si>
  <si>
    <t>4월 7일</t>
  </si>
  <si>
    <t>4월 8일</t>
  </si>
  <si>
    <t>4월 9일</t>
  </si>
  <si>
    <t>4월 10일</t>
  </si>
  <si>
    <t>4월 11일</t>
  </si>
  <si>
    <t>4월 12일</t>
  </si>
  <si>
    <t>고3</t>
    <phoneticPr fontId="1" type="noConversion"/>
  </si>
  <si>
    <t>L</t>
    <phoneticPr fontId="1" type="noConversion"/>
  </si>
  <si>
    <t>W</t>
    <phoneticPr fontId="1" type="noConversion"/>
  </si>
  <si>
    <t>0411 길갑</t>
    <phoneticPr fontId="1" type="noConversion"/>
  </si>
  <si>
    <t>WL</t>
    <phoneticPr fontId="1" type="noConversion"/>
  </si>
  <si>
    <t>구라터끼</t>
    <phoneticPr fontId="1" type="noConversion"/>
  </si>
  <si>
    <t>WW</t>
    <phoneticPr fontId="1" type="noConversion"/>
  </si>
  <si>
    <t>L</t>
    <phoneticPr fontId="1" type="noConversion"/>
  </si>
  <si>
    <t>W</t>
    <phoneticPr fontId="1" type="noConversion"/>
  </si>
  <si>
    <t>WW</t>
    <phoneticPr fontId="1" type="noConversion"/>
  </si>
  <si>
    <t>4월 13일</t>
    <phoneticPr fontId="1" type="noConversion"/>
  </si>
  <si>
    <t>4월 14일</t>
  </si>
  <si>
    <t>4월 15일</t>
  </si>
  <si>
    <t>4월 16일</t>
  </si>
  <si>
    <t>4월 17일</t>
  </si>
  <si>
    <t>4월 18일</t>
  </si>
  <si>
    <t>4월 19일</t>
  </si>
  <si>
    <t>쳀시</t>
    <phoneticPr fontId="1" type="noConversion"/>
  </si>
  <si>
    <t>0416 길갑</t>
    <phoneticPr fontId="1" type="noConversion"/>
  </si>
  <si>
    <t>길마</t>
    <phoneticPr fontId="1" type="noConversion"/>
  </si>
  <si>
    <t>부길마</t>
    <phoneticPr fontId="1" type="noConversion"/>
  </si>
  <si>
    <t>랭운</t>
    <phoneticPr fontId="1" type="noConversion"/>
  </si>
  <si>
    <t>0416~0417 정지</t>
    <phoneticPr fontId="1" type="noConversion"/>
  </si>
  <si>
    <t>L</t>
    <phoneticPr fontId="1" type="noConversion"/>
  </si>
  <si>
    <t>W</t>
    <phoneticPr fontId="1" type="noConversion"/>
  </si>
  <si>
    <t>격주로 3/7나눠서, 계정 2개</t>
    <phoneticPr fontId="1" type="noConversion"/>
  </si>
  <si>
    <t>저번주</t>
    <phoneticPr fontId="1" type="noConversion"/>
  </si>
  <si>
    <t>-</t>
    <phoneticPr fontId="1" type="noConversion"/>
  </si>
  <si>
    <t>82 (46%)</t>
    <phoneticPr fontId="1" type="noConversion"/>
  </si>
  <si>
    <t>4월 20일</t>
    <phoneticPr fontId="1" type="noConversion"/>
  </si>
  <si>
    <t>4월 21일</t>
  </si>
  <si>
    <t>4월 22일</t>
  </si>
  <si>
    <t>4월 23일</t>
  </si>
  <si>
    <t>4월 24일</t>
  </si>
  <si>
    <t>4월 25일</t>
  </si>
  <si>
    <t>4월 26일</t>
  </si>
  <si>
    <t>연휴일</t>
    <phoneticPr fontId="1" type="noConversion"/>
  </si>
  <si>
    <t>승헌</t>
    <phoneticPr fontId="1" type="noConversion"/>
  </si>
  <si>
    <t>8 (63%)</t>
  </si>
  <si>
    <t>7 (86%)</t>
  </si>
  <si>
    <t>7 (57%)</t>
  </si>
  <si>
    <t>6 (83%)</t>
  </si>
  <si>
    <t>5 (40%)</t>
  </si>
  <si>
    <t>5 (20%)</t>
  </si>
  <si>
    <t>3 (33%)</t>
  </si>
  <si>
    <t>4 (50%)</t>
  </si>
  <si>
    <t>3 (67%)</t>
  </si>
  <si>
    <t>2 (100%)</t>
  </si>
  <si>
    <t>4 (25%)</t>
  </si>
  <si>
    <t>3 (0%)</t>
  </si>
  <si>
    <t>6 (67%)</t>
  </si>
  <si>
    <t>2 (50%)</t>
  </si>
  <si>
    <t>격주로 3/7나눠서, 0421정지</t>
    <phoneticPr fontId="1" type="noConversion"/>
  </si>
  <si>
    <t>4월 27일</t>
    <phoneticPr fontId="1" type="noConversion"/>
  </si>
  <si>
    <t>4월 28일</t>
  </si>
  <si>
    <t>4월 29일</t>
  </si>
  <si>
    <t>4월 30일</t>
  </si>
  <si>
    <t>8 (50%)</t>
  </si>
  <si>
    <t>6 (50%)</t>
  </si>
  <si>
    <t>5 (80%)</t>
  </si>
  <si>
    <t>5 (60%)</t>
  </si>
  <si>
    <t>4 (100%)</t>
  </si>
  <si>
    <t>0 (0%)</t>
  </si>
  <si>
    <t>3 (100%)</t>
  </si>
  <si>
    <t>1 (0%)</t>
  </si>
  <si>
    <t>격주로 3/7나눠서</t>
    <phoneticPr fontId="1" type="noConversion"/>
  </si>
  <si>
    <t>꾜큪</t>
    <phoneticPr fontId="1" type="noConversion"/>
  </si>
  <si>
    <t>5월 1일</t>
    <phoneticPr fontId="1" type="noConversion"/>
  </si>
  <si>
    <t>5월 2일</t>
  </si>
  <si>
    <t>5월 3일</t>
  </si>
  <si>
    <t>5월 4일</t>
    <phoneticPr fontId="1" type="noConversion"/>
  </si>
  <si>
    <t>5월 5일</t>
  </si>
  <si>
    <t>5월 6일</t>
  </si>
  <si>
    <t>5월 7일</t>
  </si>
  <si>
    <t>5월 8일</t>
  </si>
  <si>
    <t>5월 9일</t>
  </si>
  <si>
    <t>5월 10일</t>
  </si>
  <si>
    <t>5 (0%)</t>
  </si>
  <si>
    <t>4 (75%)</t>
  </si>
  <si>
    <t>1 (100%)</t>
  </si>
  <si>
    <t>7 (100%)</t>
  </si>
  <si>
    <t>4 (0%)</t>
  </si>
  <si>
    <t>7 (43%)</t>
  </si>
  <si>
    <t>사계</t>
    <phoneticPr fontId="1" type="noConversion"/>
  </si>
  <si>
    <t>카교나감</t>
    <phoneticPr fontId="1" type="noConversion"/>
  </si>
  <si>
    <t>6 (33%)</t>
  </si>
  <si>
    <t>2 (0%)</t>
  </si>
  <si>
    <t>5월 11일</t>
    <phoneticPr fontId="1" type="noConversion"/>
  </si>
  <si>
    <t>5월 12일</t>
  </si>
  <si>
    <t>5월 13일</t>
  </si>
  <si>
    <t>5월 14일</t>
  </si>
  <si>
    <t>5월 15일</t>
  </si>
  <si>
    <t>5월 16일</t>
  </si>
  <si>
    <t>5월 17일</t>
  </si>
  <si>
    <t>뜽이니</t>
    <phoneticPr fontId="1" type="noConversion"/>
  </si>
  <si>
    <t>해외출장</t>
    <phoneticPr fontId="1" type="noConversion"/>
  </si>
  <si>
    <t>7일 미접</t>
    <phoneticPr fontId="1" type="noConversion"/>
  </si>
  <si>
    <t>용병</t>
    <phoneticPr fontId="1" type="noConversion"/>
  </si>
  <si>
    <t>12일 길갑, 4판만 가능</t>
    <phoneticPr fontId="1" type="noConversion"/>
  </si>
  <si>
    <t>용병(체크는 필요)</t>
    <phoneticPr fontId="1" type="noConversion"/>
  </si>
  <si>
    <t>용병이었다가 길탈</t>
    <phoneticPr fontId="1" type="noConversion"/>
  </si>
  <si>
    <t>명유로 전환</t>
    <phoneticPr fontId="1" type="noConversion"/>
  </si>
  <si>
    <t>군대-&gt;명유로 전환</t>
    <phoneticPr fontId="1" type="noConversion"/>
  </si>
  <si>
    <t xml:space="preserve"> </t>
    <phoneticPr fontId="1" type="noConversion"/>
  </si>
  <si>
    <t>튐</t>
    <phoneticPr fontId="1" type="noConversion"/>
  </si>
  <si>
    <t>16일 길갑</t>
    <phoneticPr fontId="1" type="noConversion"/>
  </si>
  <si>
    <t>13일 길갑</t>
    <phoneticPr fontId="1" type="noConversion"/>
  </si>
  <si>
    <t>6 (50%)</t>
    <phoneticPr fontId="1" type="noConversion"/>
  </si>
  <si>
    <t>7 (29%)</t>
    <phoneticPr fontId="1" type="noConversion"/>
  </si>
  <si>
    <t>5월 18일</t>
    <phoneticPr fontId="1" type="noConversion"/>
  </si>
  <si>
    <t>5월 19일</t>
  </si>
  <si>
    <t>5월 20일</t>
  </si>
  <si>
    <t>5월 21일</t>
  </si>
  <si>
    <t>5월 22일</t>
  </si>
  <si>
    <t>5월 23일</t>
  </si>
  <si>
    <t>5월 24일</t>
  </si>
  <si>
    <t>7 (71%)</t>
  </si>
  <si>
    <t>이바닥남바완</t>
  </si>
  <si>
    <t>캬옹</t>
  </si>
  <si>
    <t>송나봄</t>
  </si>
  <si>
    <t>신앙</t>
    <phoneticPr fontId="1" type="noConversion"/>
  </si>
  <si>
    <t>룻</t>
  </si>
  <si>
    <t>재완</t>
  </si>
  <si>
    <t>재완</t>
    <phoneticPr fontId="1" type="noConversion"/>
  </si>
  <si>
    <t>5월 25일</t>
    <phoneticPr fontId="1" type="noConversion"/>
  </si>
  <si>
    <t>5월 26일</t>
  </si>
  <si>
    <t>5월 27일</t>
  </si>
  <si>
    <t>5월 28일</t>
  </si>
  <si>
    <t>5월 29일</t>
  </si>
  <si>
    <t>5월 30일</t>
  </si>
  <si>
    <t>5월 31일</t>
  </si>
  <si>
    <t>6월 1일</t>
    <phoneticPr fontId="1" type="noConversion"/>
  </si>
  <si>
    <t>6월 2일</t>
  </si>
  <si>
    <t>6월 3일</t>
  </si>
  <si>
    <t>6월 4일</t>
  </si>
  <si>
    <t>6월 5일</t>
  </si>
  <si>
    <t>6월 6일</t>
  </si>
  <si>
    <t>6월 7일</t>
  </si>
  <si>
    <t>10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</si>
</sst>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2" fillId="0" borderId="0" xfId="0" applyFont="1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2" borderId="0" xfId="0" applyFont="1" applyFill="1">
      <alignment vertical="center"/>
    </xf>
    <xf numFmtId="176" fontId="0" fillId="5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표준" xfId="0" builtinId="0"/>
  </cellStyles>
  <dxfs count="74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8ED973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91727E-CB26-464D-A2DC-BB0EF7FDB86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d52755a-6fea-4e05-9a91-b6dcb783101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67EA-EFF5-4104-BCB6-D8BCDBFAAD6B}">
  <dimension ref="A1:J20"/>
  <sheetViews>
    <sheetView zoomScale="78" workbookViewId="0">
      <selection activeCell="E22" sqref="E22"/>
    </sheetView>
  </sheetViews>
  <sheetFormatPr defaultRowHeight="16.899999999999999" x14ac:dyDescent="0.6"/>
  <cols>
    <col min="1" max="1" width="12" bestFit="1" customWidth="1"/>
    <col min="2" max="2" width="12" customWidth="1"/>
    <col min="3" max="8" width="9.75" bestFit="1" customWidth="1"/>
    <col min="9" max="9" width="9.0625" bestFit="1" customWidth="1"/>
    <col min="10" max="10" width="16.0625" style="1" bestFit="1" customWidth="1"/>
  </cols>
  <sheetData>
    <row r="1" spans="1:10" x14ac:dyDescent="0.6">
      <c r="B1" s="13">
        <v>46034</v>
      </c>
      <c r="C1" s="13">
        <v>46035</v>
      </c>
      <c r="D1" s="13">
        <v>46036</v>
      </c>
      <c r="E1" s="13">
        <v>46037</v>
      </c>
      <c r="F1" s="13">
        <v>46038</v>
      </c>
      <c r="G1" s="13">
        <v>46039</v>
      </c>
      <c r="H1" s="13">
        <v>46040</v>
      </c>
      <c r="I1" s="1" t="s">
        <v>17</v>
      </c>
      <c r="J1" s="1" t="s">
        <v>20</v>
      </c>
    </row>
    <row r="2" spans="1:10" x14ac:dyDescent="0.6">
      <c r="A2" s="2" t="s">
        <v>0</v>
      </c>
      <c r="B2" s="3">
        <v>1</v>
      </c>
      <c r="C2" s="3">
        <v>2</v>
      </c>
      <c r="D2" s="3">
        <v>2</v>
      </c>
      <c r="E2" s="3">
        <v>2</v>
      </c>
      <c r="F2" s="3"/>
      <c r="G2" s="3">
        <v>2</v>
      </c>
      <c r="H2" s="3"/>
      <c r="I2" s="3">
        <f t="shared" ref="I2:I19" si="0">SUM(B2:H2)</f>
        <v>9</v>
      </c>
      <c r="J2" s="3"/>
    </row>
    <row r="3" spans="1:10" x14ac:dyDescent="0.6">
      <c r="A3" s="2" t="s">
        <v>10</v>
      </c>
      <c r="B3" s="3">
        <v>1</v>
      </c>
      <c r="C3" s="3">
        <v>1</v>
      </c>
      <c r="D3" s="3"/>
      <c r="E3" s="3">
        <v>1</v>
      </c>
      <c r="F3" s="3">
        <v>2</v>
      </c>
      <c r="G3" s="3">
        <v>1</v>
      </c>
      <c r="H3" s="3">
        <v>2</v>
      </c>
      <c r="I3" s="3">
        <f t="shared" si="0"/>
        <v>8</v>
      </c>
      <c r="J3" s="3"/>
    </row>
    <row r="4" spans="1:10" x14ac:dyDescent="0.6">
      <c r="A4" s="2" t="s">
        <v>1</v>
      </c>
      <c r="B4" s="3">
        <v>1</v>
      </c>
      <c r="C4" s="3">
        <v>2</v>
      </c>
      <c r="D4" s="3">
        <v>1</v>
      </c>
      <c r="E4" s="3">
        <v>1</v>
      </c>
      <c r="F4" s="3"/>
      <c r="G4" s="3">
        <v>1</v>
      </c>
      <c r="H4" s="3">
        <v>1</v>
      </c>
      <c r="I4" s="3">
        <f t="shared" si="0"/>
        <v>7</v>
      </c>
      <c r="J4" s="3"/>
    </row>
    <row r="5" spans="1:10" x14ac:dyDescent="0.6">
      <c r="A5" s="2" t="s">
        <v>3</v>
      </c>
      <c r="B5" s="3"/>
      <c r="C5" s="3">
        <v>1</v>
      </c>
      <c r="D5" s="3">
        <v>2</v>
      </c>
      <c r="E5" s="3"/>
      <c r="F5" s="3">
        <v>1</v>
      </c>
      <c r="G5" s="3">
        <v>1</v>
      </c>
      <c r="H5" s="3">
        <v>2</v>
      </c>
      <c r="I5" s="3">
        <f t="shared" si="0"/>
        <v>7</v>
      </c>
      <c r="J5" s="3"/>
    </row>
    <row r="6" spans="1:10" x14ac:dyDescent="0.6">
      <c r="A6" s="2" t="s">
        <v>6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/>
      <c r="I6" s="3">
        <f t="shared" si="0"/>
        <v>6</v>
      </c>
      <c r="J6" s="3"/>
    </row>
    <row r="7" spans="1:10" x14ac:dyDescent="0.6">
      <c r="A7" s="2" t="s">
        <v>8</v>
      </c>
      <c r="B7" s="3">
        <v>1</v>
      </c>
      <c r="C7" s="3"/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f t="shared" si="0"/>
        <v>6</v>
      </c>
      <c r="J7" s="3"/>
    </row>
    <row r="8" spans="1:10" x14ac:dyDescent="0.6">
      <c r="A8" s="2" t="s">
        <v>2</v>
      </c>
      <c r="B8" s="3">
        <v>1</v>
      </c>
      <c r="C8" s="3">
        <v>1</v>
      </c>
      <c r="D8" s="3">
        <v>1</v>
      </c>
      <c r="E8" s="3"/>
      <c r="F8" s="3">
        <v>1</v>
      </c>
      <c r="G8" s="3"/>
      <c r="H8" s="3">
        <v>1</v>
      </c>
      <c r="I8" s="3">
        <f t="shared" si="0"/>
        <v>5</v>
      </c>
      <c r="J8" s="3"/>
    </row>
    <row r="9" spans="1:10" x14ac:dyDescent="0.6">
      <c r="A9" s="2" t="s">
        <v>4</v>
      </c>
      <c r="B9" s="3">
        <v>2</v>
      </c>
      <c r="C9" s="3">
        <v>1</v>
      </c>
      <c r="D9" s="3"/>
      <c r="E9" s="3">
        <v>2</v>
      </c>
      <c r="F9" s="3"/>
      <c r="G9" s="3"/>
      <c r="H9" s="3"/>
      <c r="I9" s="3">
        <f t="shared" si="0"/>
        <v>5</v>
      </c>
      <c r="J9" s="3"/>
    </row>
    <row r="10" spans="1:10" x14ac:dyDescent="0.6">
      <c r="A10" s="2" t="s">
        <v>5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/>
      <c r="H10" s="3"/>
      <c r="I10" s="3">
        <f t="shared" si="0"/>
        <v>5</v>
      </c>
      <c r="J10" s="3"/>
    </row>
    <row r="11" spans="1:10" x14ac:dyDescent="0.6">
      <c r="A11" s="2" t="s">
        <v>9</v>
      </c>
      <c r="B11" s="3">
        <v>1</v>
      </c>
      <c r="C11" s="3"/>
      <c r="D11" s="3">
        <v>1</v>
      </c>
      <c r="E11" s="3">
        <v>1</v>
      </c>
      <c r="F11" s="3"/>
      <c r="G11" s="3">
        <v>1</v>
      </c>
      <c r="H11" s="3">
        <v>1</v>
      </c>
      <c r="I11" s="3">
        <f t="shared" si="0"/>
        <v>5</v>
      </c>
      <c r="J11" s="3"/>
    </row>
    <row r="12" spans="1:10" x14ac:dyDescent="0.6">
      <c r="A12" s="6" t="s">
        <v>7</v>
      </c>
      <c r="B12" s="7">
        <v>1</v>
      </c>
      <c r="C12" s="7"/>
      <c r="D12" s="7">
        <v>1</v>
      </c>
      <c r="E12" s="7"/>
      <c r="F12" s="7">
        <v>1</v>
      </c>
      <c r="G12" s="7"/>
      <c r="H12" s="7">
        <v>1</v>
      </c>
      <c r="I12" s="7">
        <f t="shared" si="0"/>
        <v>4</v>
      </c>
      <c r="J12" s="7"/>
    </row>
    <row r="13" spans="1:10" x14ac:dyDescent="0.6">
      <c r="A13" s="6" t="s">
        <v>11</v>
      </c>
      <c r="B13" s="7"/>
      <c r="C13" s="7">
        <v>1</v>
      </c>
      <c r="D13" s="7"/>
      <c r="E13" s="7">
        <v>1</v>
      </c>
      <c r="F13" s="7">
        <v>1</v>
      </c>
      <c r="G13" s="7">
        <v>1</v>
      </c>
      <c r="H13" s="7"/>
      <c r="I13" s="7">
        <f t="shared" si="0"/>
        <v>4</v>
      </c>
      <c r="J13" s="7"/>
    </row>
    <row r="14" spans="1:10" x14ac:dyDescent="0.6">
      <c r="A14" s="6" t="s">
        <v>12</v>
      </c>
      <c r="B14" s="7"/>
      <c r="C14" s="7"/>
      <c r="D14" s="7">
        <v>1</v>
      </c>
      <c r="E14" s="7">
        <v>1</v>
      </c>
      <c r="F14" s="7">
        <v>1</v>
      </c>
      <c r="G14" s="7"/>
      <c r="H14" s="7"/>
      <c r="I14" s="7">
        <f t="shared" si="0"/>
        <v>3</v>
      </c>
      <c r="J14" s="7"/>
    </row>
    <row r="15" spans="1:10" x14ac:dyDescent="0.6">
      <c r="A15" s="6" t="s">
        <v>16</v>
      </c>
      <c r="B15" s="7"/>
      <c r="C15" s="7"/>
      <c r="D15" s="7"/>
      <c r="E15" s="7"/>
      <c r="F15" s="7">
        <v>1</v>
      </c>
      <c r="G15" s="7">
        <v>1</v>
      </c>
      <c r="H15" s="7">
        <v>1</v>
      </c>
      <c r="I15" s="7">
        <f t="shared" si="0"/>
        <v>3</v>
      </c>
      <c r="J15" s="7"/>
    </row>
    <row r="16" spans="1:10" x14ac:dyDescent="0.6">
      <c r="A16" s="8" t="s">
        <v>19</v>
      </c>
      <c r="B16" s="9"/>
      <c r="C16" s="9"/>
      <c r="D16" s="9"/>
      <c r="E16" s="9"/>
      <c r="F16" s="9"/>
      <c r="G16" s="9">
        <v>1</v>
      </c>
      <c r="H16" s="9"/>
      <c r="I16" s="9">
        <f t="shared" si="0"/>
        <v>1</v>
      </c>
      <c r="J16" s="9"/>
    </row>
    <row r="17" spans="1:10" x14ac:dyDescent="0.6">
      <c r="A17" s="8" t="s">
        <v>18</v>
      </c>
      <c r="B17" s="9"/>
      <c r="C17" s="9"/>
      <c r="D17" s="9"/>
      <c r="E17" s="9"/>
      <c r="F17" s="9"/>
      <c r="G17" s="9"/>
      <c r="H17" s="9">
        <v>1</v>
      </c>
      <c r="I17" s="9">
        <f t="shared" si="0"/>
        <v>1</v>
      </c>
      <c r="J17" s="9"/>
    </row>
    <row r="18" spans="1:10" x14ac:dyDescent="0.6">
      <c r="A18" s="4" t="s">
        <v>14</v>
      </c>
      <c r="B18" s="5"/>
      <c r="C18" s="5">
        <v>1</v>
      </c>
      <c r="D18" s="5"/>
      <c r="E18" s="5"/>
      <c r="F18" s="5">
        <v>1</v>
      </c>
      <c r="G18" s="5"/>
      <c r="H18" s="5">
        <v>1</v>
      </c>
      <c r="I18" s="5">
        <f t="shared" si="0"/>
        <v>3</v>
      </c>
      <c r="J18" s="5"/>
    </row>
    <row r="19" spans="1:10" x14ac:dyDescent="0.6">
      <c r="A19" s="4" t="s">
        <v>13</v>
      </c>
      <c r="B19" s="5">
        <v>1</v>
      </c>
      <c r="C19" s="5"/>
      <c r="D19" s="5"/>
      <c r="E19" s="5"/>
      <c r="F19" s="5"/>
      <c r="G19" s="5">
        <v>1</v>
      </c>
      <c r="H19" s="5"/>
      <c r="I19" s="5">
        <f t="shared" si="0"/>
        <v>2</v>
      </c>
      <c r="J19" s="5"/>
    </row>
    <row r="20" spans="1:10" x14ac:dyDescent="0.6">
      <c r="B20" s="3">
        <f t="shared" ref="B20:H20" si="1">SUM(B2:B19)</f>
        <v>12</v>
      </c>
      <c r="C20" s="3">
        <f t="shared" si="1"/>
        <v>12</v>
      </c>
      <c r="D20" s="3">
        <f t="shared" si="1"/>
        <v>12</v>
      </c>
      <c r="E20" s="3">
        <f t="shared" si="1"/>
        <v>12</v>
      </c>
      <c r="F20" s="3">
        <f t="shared" si="1"/>
        <v>12</v>
      </c>
      <c r="G20" s="3">
        <f t="shared" si="1"/>
        <v>12</v>
      </c>
      <c r="H20" s="3">
        <f t="shared" si="1"/>
        <v>12</v>
      </c>
      <c r="I20" s="1">
        <f>SUM(I2:I19)</f>
        <v>84</v>
      </c>
    </row>
  </sheetData>
  <sortState xmlns:xlrd2="http://schemas.microsoft.com/office/spreadsheetml/2017/richdata2" ref="A2:J19">
    <sortCondition sortBy="cellColor" ref="I2:I19" dxfId="69"/>
    <sortCondition sortBy="cellColor" ref="I2:I19" dxfId="68"/>
    <sortCondition sortBy="cellColor" ref="I2:I19" dxfId="67"/>
    <sortCondition sortBy="cellColor" ref="I2:I19" dxfId="66"/>
    <sortCondition descending="1" ref="I2:I1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9190-B7CD-48CA-945A-B96DCB977B22}">
  <dimension ref="A1:J19"/>
  <sheetViews>
    <sheetView zoomScale="75" zoomScaleNormal="75" workbookViewId="0">
      <selection activeCell="E34" sqref="E34"/>
    </sheetView>
  </sheetViews>
  <sheetFormatPr defaultRowHeight="16.899999999999999" x14ac:dyDescent="0.6"/>
  <cols>
    <col min="1" max="9" width="10.5625" customWidth="1"/>
    <col min="10" max="10" width="19.5" bestFit="1" customWidth="1"/>
  </cols>
  <sheetData>
    <row r="1" spans="1:10" x14ac:dyDescent="0.6">
      <c r="B1" s="13">
        <v>46062</v>
      </c>
      <c r="C1" s="13">
        <v>46063</v>
      </c>
      <c r="D1" s="13">
        <v>46064</v>
      </c>
      <c r="E1" s="10">
        <v>46065</v>
      </c>
      <c r="F1" s="13">
        <v>46066</v>
      </c>
      <c r="G1" s="13">
        <v>46067</v>
      </c>
      <c r="H1" s="13">
        <v>46068</v>
      </c>
      <c r="I1" s="1" t="s">
        <v>17</v>
      </c>
      <c r="J1" t="s">
        <v>20</v>
      </c>
    </row>
    <row r="2" spans="1:10" x14ac:dyDescent="0.6">
      <c r="A2" s="2" t="s">
        <v>0</v>
      </c>
      <c r="B2" s="3">
        <v>1</v>
      </c>
      <c r="C2" s="3"/>
      <c r="D2" s="3"/>
      <c r="E2" s="3"/>
      <c r="F2" s="3">
        <v>2</v>
      </c>
      <c r="G2" s="3">
        <v>2</v>
      </c>
      <c r="H2" s="3"/>
      <c r="I2" s="3">
        <f t="shared" ref="I2:I18" si="0">SUM(B2:H2)</f>
        <v>5</v>
      </c>
      <c r="J2" s="3"/>
    </row>
    <row r="3" spans="1:10" x14ac:dyDescent="0.6">
      <c r="A3" s="2" t="s">
        <v>1</v>
      </c>
      <c r="B3" s="3">
        <v>1</v>
      </c>
      <c r="C3" s="3">
        <v>1</v>
      </c>
      <c r="D3" s="3">
        <v>1</v>
      </c>
      <c r="E3" s="3">
        <v>1</v>
      </c>
      <c r="F3" s="3"/>
      <c r="G3" s="3">
        <v>1</v>
      </c>
      <c r="H3" s="3">
        <v>1</v>
      </c>
      <c r="I3" s="3">
        <f t="shared" si="0"/>
        <v>6</v>
      </c>
      <c r="J3" s="3"/>
    </row>
    <row r="4" spans="1:10" x14ac:dyDescent="0.6">
      <c r="A4" s="2" t="s">
        <v>3</v>
      </c>
      <c r="B4" s="3">
        <v>2</v>
      </c>
      <c r="C4" s="3">
        <v>4</v>
      </c>
      <c r="D4" s="3">
        <v>2</v>
      </c>
      <c r="E4" s="3">
        <v>4</v>
      </c>
      <c r="F4" s="3">
        <v>2</v>
      </c>
      <c r="G4" s="3">
        <v>1</v>
      </c>
      <c r="H4" s="3">
        <v>1</v>
      </c>
      <c r="I4" s="3">
        <f t="shared" si="0"/>
        <v>16</v>
      </c>
      <c r="J4" s="3"/>
    </row>
    <row r="5" spans="1:10" x14ac:dyDescent="0.6">
      <c r="A5" s="2" t="s">
        <v>2</v>
      </c>
      <c r="B5" s="3">
        <v>1</v>
      </c>
      <c r="C5" s="3"/>
      <c r="D5" s="3">
        <v>1</v>
      </c>
      <c r="E5" s="3">
        <v>1</v>
      </c>
      <c r="F5" s="3"/>
      <c r="G5" s="3">
        <v>1</v>
      </c>
      <c r="H5" s="3">
        <v>1</v>
      </c>
      <c r="I5" s="3">
        <f t="shared" si="0"/>
        <v>5</v>
      </c>
      <c r="J5" s="3"/>
    </row>
    <row r="6" spans="1:10" x14ac:dyDescent="0.6">
      <c r="A6" s="2" t="s">
        <v>8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/>
      <c r="H6" s="3"/>
      <c r="I6" s="3">
        <f t="shared" si="0"/>
        <v>5</v>
      </c>
      <c r="J6" s="3"/>
    </row>
    <row r="7" spans="1:10" x14ac:dyDescent="0.6">
      <c r="A7" s="2" t="s">
        <v>5</v>
      </c>
      <c r="B7" s="3">
        <v>2</v>
      </c>
      <c r="C7" s="3">
        <v>2</v>
      </c>
      <c r="D7" s="3">
        <v>2</v>
      </c>
      <c r="E7" s="3"/>
      <c r="F7" s="3">
        <v>2</v>
      </c>
      <c r="G7" s="3"/>
      <c r="H7" s="3"/>
      <c r="I7" s="3">
        <f t="shared" si="0"/>
        <v>8</v>
      </c>
      <c r="J7" s="3"/>
    </row>
    <row r="8" spans="1:10" x14ac:dyDescent="0.6">
      <c r="A8" s="2" t="s">
        <v>23</v>
      </c>
      <c r="B8" s="3"/>
      <c r="C8" s="3">
        <v>1</v>
      </c>
      <c r="D8" s="3">
        <v>1</v>
      </c>
      <c r="E8" s="3">
        <v>1</v>
      </c>
      <c r="F8" s="3"/>
      <c r="G8" s="3"/>
      <c r="H8" s="3">
        <v>1</v>
      </c>
      <c r="I8" s="3">
        <f t="shared" si="0"/>
        <v>4</v>
      </c>
      <c r="J8" s="3" t="s">
        <v>27</v>
      </c>
    </row>
    <row r="9" spans="1:10" x14ac:dyDescent="0.6">
      <c r="A9" s="2" t="s">
        <v>18</v>
      </c>
      <c r="B9" s="3"/>
      <c r="C9" s="3"/>
      <c r="D9" s="3">
        <v>1</v>
      </c>
      <c r="E9" s="3"/>
      <c r="F9" s="3"/>
      <c r="G9" s="3">
        <v>2</v>
      </c>
      <c r="H9" s="3">
        <v>2</v>
      </c>
      <c r="I9" s="3">
        <f t="shared" si="0"/>
        <v>5</v>
      </c>
      <c r="J9" s="3"/>
    </row>
    <row r="10" spans="1:10" x14ac:dyDescent="0.6">
      <c r="A10" s="6" t="s">
        <v>22</v>
      </c>
      <c r="B10" s="7"/>
      <c r="C10" s="7">
        <v>1</v>
      </c>
      <c r="D10" s="7"/>
      <c r="E10" s="7">
        <v>1</v>
      </c>
      <c r="F10" s="7"/>
      <c r="G10" s="7">
        <v>1</v>
      </c>
      <c r="H10" s="7"/>
      <c r="I10" s="7">
        <f t="shared" si="0"/>
        <v>3</v>
      </c>
      <c r="J10" s="7"/>
    </row>
    <row r="11" spans="1:10" x14ac:dyDescent="0.6">
      <c r="A11" s="6" t="s">
        <v>19</v>
      </c>
      <c r="B11" s="7">
        <v>1</v>
      </c>
      <c r="C11" s="7"/>
      <c r="D11" s="7"/>
      <c r="E11" s="7"/>
      <c r="F11" s="7"/>
      <c r="G11" s="7"/>
      <c r="H11" s="7"/>
      <c r="I11" s="7">
        <f t="shared" si="0"/>
        <v>1</v>
      </c>
      <c r="J11" s="7"/>
    </row>
    <row r="12" spans="1:10" x14ac:dyDescent="0.6">
      <c r="A12" s="6" t="s">
        <v>9</v>
      </c>
      <c r="B12" s="7"/>
      <c r="C12" s="7"/>
      <c r="D12" s="7">
        <v>1</v>
      </c>
      <c r="E12" s="7"/>
      <c r="F12" s="7"/>
      <c r="G12" s="7"/>
      <c r="H12" s="7"/>
      <c r="I12" s="7">
        <f t="shared" si="0"/>
        <v>1</v>
      </c>
      <c r="J12" s="7"/>
    </row>
    <row r="13" spans="1:10" x14ac:dyDescent="0.6">
      <c r="A13" s="6" t="s">
        <v>7</v>
      </c>
      <c r="B13" s="7">
        <v>1</v>
      </c>
      <c r="C13" s="7"/>
      <c r="D13" s="7"/>
      <c r="E13" s="7"/>
      <c r="F13" s="7">
        <v>1</v>
      </c>
      <c r="G13" s="7"/>
      <c r="H13" s="7">
        <v>1</v>
      </c>
      <c r="I13" s="7">
        <f t="shared" si="0"/>
        <v>3</v>
      </c>
      <c r="J13" s="7"/>
    </row>
    <row r="14" spans="1:10" x14ac:dyDescent="0.6">
      <c r="A14" s="6" t="s">
        <v>12</v>
      </c>
      <c r="B14" s="7"/>
      <c r="C14" s="7"/>
      <c r="D14" s="7"/>
      <c r="E14" s="7"/>
      <c r="F14" s="7">
        <v>1</v>
      </c>
      <c r="G14" s="7"/>
      <c r="H14" s="7"/>
      <c r="I14" s="7">
        <f t="shared" si="0"/>
        <v>1</v>
      </c>
      <c r="J14" s="7"/>
    </row>
    <row r="15" spans="1:10" x14ac:dyDescent="0.6">
      <c r="A15" s="8" t="s">
        <v>26</v>
      </c>
      <c r="B15" s="9"/>
      <c r="C15" s="9"/>
      <c r="D15" s="9"/>
      <c r="E15" s="9"/>
      <c r="F15" s="9"/>
      <c r="G15" s="9">
        <v>1</v>
      </c>
      <c r="H15" s="9">
        <v>1</v>
      </c>
      <c r="I15" s="9">
        <f t="shared" si="0"/>
        <v>2</v>
      </c>
      <c r="J15" s="9" t="s">
        <v>28</v>
      </c>
    </row>
    <row r="16" spans="1:10" x14ac:dyDescent="0.6">
      <c r="A16" s="8" t="s">
        <v>24</v>
      </c>
      <c r="B16" s="9"/>
      <c r="C16" s="9"/>
      <c r="D16" s="9"/>
      <c r="E16" s="9"/>
      <c r="F16" s="9"/>
      <c r="G16" s="9"/>
      <c r="H16" s="9">
        <v>1</v>
      </c>
      <c r="I16" s="9">
        <f t="shared" si="0"/>
        <v>1</v>
      </c>
      <c r="J16" s="9" t="s">
        <v>29</v>
      </c>
    </row>
    <row r="17" spans="1:10" x14ac:dyDescent="0.6">
      <c r="A17" s="4" t="s">
        <v>11</v>
      </c>
      <c r="B17" s="5"/>
      <c r="C17" s="5"/>
      <c r="D17" s="5"/>
      <c r="E17" s="5">
        <v>1</v>
      </c>
      <c r="F17" s="5">
        <v>1</v>
      </c>
      <c r="G17" s="5">
        <v>1</v>
      </c>
      <c r="H17" s="5">
        <v>1</v>
      </c>
      <c r="I17" s="5">
        <f t="shared" si="0"/>
        <v>4</v>
      </c>
      <c r="J17" s="5"/>
    </row>
    <row r="18" spans="1:10" x14ac:dyDescent="0.6">
      <c r="A18" s="4" t="s">
        <v>14</v>
      </c>
      <c r="B18" s="5">
        <v>2</v>
      </c>
      <c r="C18" s="5">
        <v>2</v>
      </c>
      <c r="D18" s="5">
        <v>2</v>
      </c>
      <c r="E18" s="5">
        <v>1</v>
      </c>
      <c r="F18" s="5">
        <v>2</v>
      </c>
      <c r="G18" s="5">
        <v>2</v>
      </c>
      <c r="H18" s="5">
        <v>2</v>
      </c>
      <c r="I18" s="5">
        <f t="shared" si="0"/>
        <v>13</v>
      </c>
      <c r="J18" s="5"/>
    </row>
    <row r="19" spans="1:10" x14ac:dyDescent="0.6">
      <c r="B19" s="3">
        <f t="shared" ref="B19:H19" si="1">SUM(B2:B18)</f>
        <v>12</v>
      </c>
      <c r="C19" s="3">
        <f t="shared" si="1"/>
        <v>12</v>
      </c>
      <c r="D19" s="3">
        <f t="shared" si="1"/>
        <v>12</v>
      </c>
      <c r="E19" s="7">
        <f t="shared" si="1"/>
        <v>11</v>
      </c>
      <c r="F19" s="3">
        <f t="shared" si="1"/>
        <v>12</v>
      </c>
      <c r="G19" s="3">
        <f t="shared" si="1"/>
        <v>12</v>
      </c>
      <c r="H19" s="3">
        <f t="shared" si="1"/>
        <v>12</v>
      </c>
      <c r="I19" s="1">
        <f>SUM(I2:I18)</f>
        <v>83</v>
      </c>
    </row>
  </sheetData>
  <sortState xmlns:xlrd2="http://schemas.microsoft.com/office/spreadsheetml/2017/richdata2" ref="A2:J18">
    <sortCondition sortBy="cellColor" ref="B2:B18" dxfId="65"/>
    <sortCondition sortBy="cellColor" ref="B2:B18" dxfId="64"/>
    <sortCondition sortBy="cellColor" ref="B2:B18" dxfId="63"/>
    <sortCondition sortBy="cellColor" ref="B2:B18" dxfId="62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E732-75BA-447A-8460-A6EB1DB46D96}">
  <dimension ref="A1:L25"/>
  <sheetViews>
    <sheetView zoomScale="78" zoomScaleNormal="78" workbookViewId="0">
      <selection activeCell="A9" sqref="A9"/>
    </sheetView>
  </sheetViews>
  <sheetFormatPr defaultRowHeight="16.899999999999999" x14ac:dyDescent="0.6"/>
  <cols>
    <col min="1" max="1" width="13.6875" bestFit="1" customWidth="1"/>
    <col min="2" max="9" width="10.5625" customWidth="1"/>
    <col min="10" max="10" width="15.75" style="1" bestFit="1" customWidth="1"/>
  </cols>
  <sheetData>
    <row r="1" spans="1:10" x14ac:dyDescent="0.6">
      <c r="B1" s="13">
        <v>46069</v>
      </c>
      <c r="C1" s="13">
        <v>46070</v>
      </c>
      <c r="D1" s="13">
        <v>46071</v>
      </c>
      <c r="E1" s="13">
        <v>46072</v>
      </c>
      <c r="F1" s="13">
        <v>46073</v>
      </c>
      <c r="G1" s="10">
        <v>46074</v>
      </c>
      <c r="H1" s="13">
        <v>46075</v>
      </c>
      <c r="I1" s="1" t="s">
        <v>17</v>
      </c>
      <c r="J1" s="1" t="s">
        <v>20</v>
      </c>
    </row>
    <row r="2" spans="1:10" x14ac:dyDescent="0.6">
      <c r="A2" s="2" t="s">
        <v>5</v>
      </c>
      <c r="B2" s="3">
        <v>2</v>
      </c>
      <c r="C2" s="3">
        <v>1</v>
      </c>
      <c r="D2" s="3">
        <v>1</v>
      </c>
      <c r="E2" s="3">
        <v>1</v>
      </c>
      <c r="F2" s="3">
        <v>1</v>
      </c>
      <c r="G2" s="3"/>
      <c r="H2" s="3"/>
      <c r="I2" s="3">
        <f t="shared" ref="I2:I22" si="0">SUM(B2:H2)</f>
        <v>6</v>
      </c>
      <c r="J2" s="3"/>
    </row>
    <row r="3" spans="1:10" x14ac:dyDescent="0.6">
      <c r="A3" s="2" t="s">
        <v>9</v>
      </c>
      <c r="B3" s="3">
        <v>1</v>
      </c>
      <c r="C3" s="3">
        <v>1</v>
      </c>
      <c r="D3" s="3"/>
      <c r="E3" s="3">
        <v>1</v>
      </c>
      <c r="F3" s="3">
        <v>1</v>
      </c>
      <c r="G3" s="3">
        <v>1</v>
      </c>
      <c r="H3" s="3">
        <v>1</v>
      </c>
      <c r="I3" s="3">
        <f t="shared" si="0"/>
        <v>6</v>
      </c>
      <c r="J3" s="3"/>
    </row>
    <row r="4" spans="1:10" x14ac:dyDescent="0.6">
      <c r="A4" s="2" t="s">
        <v>8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/>
      <c r="H4" s="3"/>
      <c r="I4" s="3">
        <f t="shared" si="0"/>
        <v>5</v>
      </c>
      <c r="J4" s="3"/>
    </row>
    <row r="5" spans="1:10" x14ac:dyDescent="0.6">
      <c r="A5" s="2" t="s">
        <v>33</v>
      </c>
      <c r="B5" s="3"/>
      <c r="C5" s="3"/>
      <c r="D5" s="3">
        <v>1</v>
      </c>
      <c r="E5" s="3">
        <v>1</v>
      </c>
      <c r="F5" s="3"/>
      <c r="G5" s="3">
        <v>1</v>
      </c>
      <c r="H5" s="3">
        <v>2</v>
      </c>
      <c r="I5" s="3">
        <f t="shared" si="0"/>
        <v>5</v>
      </c>
      <c r="J5" s="3"/>
    </row>
    <row r="6" spans="1:10" x14ac:dyDescent="0.6">
      <c r="A6" s="2" t="s">
        <v>23</v>
      </c>
      <c r="B6" s="3">
        <v>1</v>
      </c>
      <c r="C6" s="3"/>
      <c r="D6" s="3">
        <v>1</v>
      </c>
      <c r="E6" s="3">
        <v>1</v>
      </c>
      <c r="F6" s="3"/>
      <c r="G6" s="3">
        <v>1</v>
      </c>
      <c r="H6" s="3">
        <v>1</v>
      </c>
      <c r="I6" s="3">
        <f t="shared" si="0"/>
        <v>5</v>
      </c>
      <c r="J6" s="3"/>
    </row>
    <row r="7" spans="1:10" x14ac:dyDescent="0.6">
      <c r="A7" s="2" t="s">
        <v>26</v>
      </c>
      <c r="B7" s="3">
        <v>1</v>
      </c>
      <c r="C7" s="3"/>
      <c r="D7" s="3"/>
      <c r="E7" s="3">
        <v>1</v>
      </c>
      <c r="F7" s="3">
        <v>1</v>
      </c>
      <c r="G7" s="3">
        <v>1</v>
      </c>
      <c r="H7" s="3">
        <v>1</v>
      </c>
      <c r="I7" s="3">
        <f t="shared" si="0"/>
        <v>5</v>
      </c>
      <c r="J7" s="3"/>
    </row>
    <row r="8" spans="1:10" x14ac:dyDescent="0.6">
      <c r="A8" s="2" t="s">
        <v>24</v>
      </c>
      <c r="B8" s="3"/>
      <c r="C8" s="3">
        <v>1</v>
      </c>
      <c r="D8" s="3">
        <v>1</v>
      </c>
      <c r="E8" s="3">
        <v>1</v>
      </c>
      <c r="F8" s="3"/>
      <c r="G8" s="3">
        <v>1</v>
      </c>
      <c r="H8" s="3">
        <v>1</v>
      </c>
      <c r="I8" s="3">
        <f t="shared" si="0"/>
        <v>5</v>
      </c>
      <c r="J8" s="3"/>
    </row>
    <row r="9" spans="1:10" x14ac:dyDescent="0.6">
      <c r="A9" s="6" t="s">
        <v>22</v>
      </c>
      <c r="B9" s="7">
        <v>1</v>
      </c>
      <c r="C9" s="7"/>
      <c r="D9" s="7"/>
      <c r="E9" s="7">
        <v>1</v>
      </c>
      <c r="F9" s="7">
        <v>1</v>
      </c>
      <c r="G9" s="7"/>
      <c r="H9" s="7">
        <v>1</v>
      </c>
      <c r="I9" s="7">
        <f t="shared" si="0"/>
        <v>4</v>
      </c>
      <c r="J9" s="7"/>
    </row>
    <row r="10" spans="1:10" x14ac:dyDescent="0.6">
      <c r="A10" s="6" t="s">
        <v>0</v>
      </c>
      <c r="B10" s="7"/>
      <c r="C10" s="7">
        <v>1</v>
      </c>
      <c r="D10" s="7">
        <v>2</v>
      </c>
      <c r="E10" s="7">
        <v>1</v>
      </c>
      <c r="F10" s="7"/>
      <c r="G10" s="7"/>
      <c r="H10" s="7"/>
      <c r="I10" s="7">
        <f t="shared" si="0"/>
        <v>4</v>
      </c>
      <c r="J10" s="7"/>
    </row>
    <row r="11" spans="1:10" x14ac:dyDescent="0.6">
      <c r="A11" s="6" t="s">
        <v>2</v>
      </c>
      <c r="B11" s="7">
        <v>1</v>
      </c>
      <c r="C11" s="7"/>
      <c r="D11" s="7">
        <v>1</v>
      </c>
      <c r="E11" s="7">
        <v>1</v>
      </c>
      <c r="F11" s="7"/>
      <c r="G11" s="7">
        <v>1</v>
      </c>
      <c r="H11" s="7"/>
      <c r="I11" s="7">
        <f t="shared" si="0"/>
        <v>4</v>
      </c>
      <c r="J11" s="7"/>
    </row>
    <row r="12" spans="1:10" x14ac:dyDescent="0.6">
      <c r="A12" s="6" t="s">
        <v>18</v>
      </c>
      <c r="B12" s="7"/>
      <c r="C12" s="7">
        <v>2</v>
      </c>
      <c r="D12" s="7"/>
      <c r="E12" s="7"/>
      <c r="F12" s="7">
        <v>2</v>
      </c>
      <c r="G12" s="7"/>
      <c r="H12" s="7"/>
      <c r="I12" s="7">
        <f t="shared" si="0"/>
        <v>4</v>
      </c>
      <c r="J12" s="7"/>
    </row>
    <row r="13" spans="1:10" x14ac:dyDescent="0.6">
      <c r="A13" s="6" t="s">
        <v>12</v>
      </c>
      <c r="B13" s="7"/>
      <c r="C13" s="7">
        <v>1</v>
      </c>
      <c r="D13" s="7"/>
      <c r="E13" s="7">
        <v>1</v>
      </c>
      <c r="F13" s="7"/>
      <c r="G13" s="7">
        <v>1</v>
      </c>
      <c r="H13" s="7">
        <v>1</v>
      </c>
      <c r="I13" s="7">
        <f t="shared" si="0"/>
        <v>4</v>
      </c>
      <c r="J13" s="7"/>
    </row>
    <row r="14" spans="1:10" x14ac:dyDescent="0.6">
      <c r="A14" s="6" t="s">
        <v>1</v>
      </c>
      <c r="B14" s="7">
        <v>1</v>
      </c>
      <c r="C14" s="7">
        <v>1</v>
      </c>
      <c r="D14" s="7"/>
      <c r="E14" s="7"/>
      <c r="F14" s="7"/>
      <c r="G14" s="7"/>
      <c r="H14" s="7">
        <v>1</v>
      </c>
      <c r="I14" s="7">
        <f t="shared" si="0"/>
        <v>3</v>
      </c>
      <c r="J14" s="7"/>
    </row>
    <row r="15" spans="1:10" x14ac:dyDescent="0.6">
      <c r="A15" s="6" t="s">
        <v>7</v>
      </c>
      <c r="B15" s="7"/>
      <c r="C15" s="7">
        <v>1</v>
      </c>
      <c r="D15" s="7"/>
      <c r="E15" s="7"/>
      <c r="F15" s="7"/>
      <c r="G15" s="7">
        <v>1</v>
      </c>
      <c r="H15" s="7">
        <v>1</v>
      </c>
      <c r="I15" s="7">
        <f t="shared" si="0"/>
        <v>3</v>
      </c>
      <c r="J15" s="7"/>
    </row>
    <row r="16" spans="1:10" x14ac:dyDescent="0.6">
      <c r="A16" s="6" t="s">
        <v>3</v>
      </c>
      <c r="B16" s="7"/>
      <c r="C16" s="7"/>
      <c r="D16" s="7">
        <v>1</v>
      </c>
      <c r="E16" s="7"/>
      <c r="F16" s="7"/>
      <c r="G16" s="7">
        <v>1</v>
      </c>
      <c r="H16" s="7"/>
      <c r="I16" s="7">
        <f t="shared" si="0"/>
        <v>2</v>
      </c>
      <c r="J16" s="7"/>
    </row>
    <row r="17" spans="1:12" x14ac:dyDescent="0.6">
      <c r="A17" s="6" t="s">
        <v>19</v>
      </c>
      <c r="B17" s="7">
        <v>1</v>
      </c>
      <c r="C17" s="7"/>
      <c r="D17" s="7"/>
      <c r="E17" s="7"/>
      <c r="F17" s="7"/>
      <c r="G17" s="7"/>
      <c r="H17" s="7"/>
      <c r="I17" s="7">
        <f t="shared" si="0"/>
        <v>1</v>
      </c>
      <c r="J17" s="7"/>
    </row>
    <row r="18" spans="1:12" x14ac:dyDescent="0.6">
      <c r="A18" s="8" t="s">
        <v>32</v>
      </c>
      <c r="B18" s="9"/>
      <c r="C18" s="9"/>
      <c r="D18" s="9"/>
      <c r="E18" s="9"/>
      <c r="F18" s="9">
        <v>1</v>
      </c>
      <c r="G18" s="9">
        <v>1</v>
      </c>
      <c r="H18" s="9">
        <v>1</v>
      </c>
      <c r="I18" s="9">
        <f t="shared" si="0"/>
        <v>3</v>
      </c>
      <c r="J18" s="9"/>
    </row>
    <row r="19" spans="1:12" x14ac:dyDescent="0.6">
      <c r="A19" s="8" t="s">
        <v>25</v>
      </c>
      <c r="B19" s="9"/>
      <c r="C19" s="9"/>
      <c r="D19" s="9"/>
      <c r="E19" s="9"/>
      <c r="F19" s="9">
        <v>1</v>
      </c>
      <c r="G19" s="9"/>
      <c r="H19" s="9"/>
      <c r="I19" s="9">
        <f t="shared" si="0"/>
        <v>1</v>
      </c>
      <c r="J19" s="9"/>
    </row>
    <row r="20" spans="1:12" x14ac:dyDescent="0.6">
      <c r="A20" s="8" t="s">
        <v>31</v>
      </c>
      <c r="B20" s="9"/>
      <c r="C20" s="9"/>
      <c r="D20" s="9"/>
      <c r="E20" s="9"/>
      <c r="F20" s="9">
        <v>1</v>
      </c>
      <c r="G20" s="9"/>
      <c r="H20" s="9"/>
      <c r="I20" s="9">
        <f t="shared" si="0"/>
        <v>1</v>
      </c>
      <c r="J20" s="9"/>
    </row>
    <row r="21" spans="1:12" x14ac:dyDescent="0.6">
      <c r="A21" s="4" t="s">
        <v>14</v>
      </c>
      <c r="B21" s="5">
        <v>2</v>
      </c>
      <c r="C21" s="5">
        <v>2</v>
      </c>
      <c r="D21" s="5">
        <v>2</v>
      </c>
      <c r="E21" s="5"/>
      <c r="F21" s="5">
        <v>2</v>
      </c>
      <c r="G21" s="5"/>
      <c r="H21" s="5"/>
      <c r="I21" s="5">
        <f t="shared" si="0"/>
        <v>8</v>
      </c>
      <c r="J21" s="5"/>
    </row>
    <row r="22" spans="1:12" x14ac:dyDescent="0.6">
      <c r="A22" s="4" t="s">
        <v>11</v>
      </c>
      <c r="B22" s="5"/>
      <c r="C22" s="5"/>
      <c r="D22" s="5">
        <v>1</v>
      </c>
      <c r="E22" s="5">
        <v>1</v>
      </c>
      <c r="F22" s="5"/>
      <c r="G22" s="5"/>
      <c r="H22" s="5">
        <v>1</v>
      </c>
      <c r="I22" s="5">
        <f t="shared" si="0"/>
        <v>3</v>
      </c>
      <c r="J22" s="5"/>
    </row>
    <row r="23" spans="1:12" x14ac:dyDescent="0.6">
      <c r="B23" s="3">
        <f t="shared" ref="B23:H23" si="1">SUM(B2:B22)</f>
        <v>12</v>
      </c>
      <c r="C23" s="3">
        <f t="shared" si="1"/>
        <v>12</v>
      </c>
      <c r="D23" s="3">
        <f t="shared" si="1"/>
        <v>12</v>
      </c>
      <c r="E23" s="3">
        <f t="shared" si="1"/>
        <v>12</v>
      </c>
      <c r="F23" s="3">
        <f t="shared" si="1"/>
        <v>12</v>
      </c>
      <c r="G23" s="7">
        <f t="shared" si="1"/>
        <v>10</v>
      </c>
      <c r="H23" s="3">
        <f t="shared" si="1"/>
        <v>12</v>
      </c>
      <c r="I23" s="1">
        <f>SUM(I2:I22)</f>
        <v>82</v>
      </c>
    </row>
    <row r="25" spans="1:12" x14ac:dyDescent="0.6">
      <c r="L25" s="1"/>
    </row>
  </sheetData>
  <sortState xmlns:xlrd2="http://schemas.microsoft.com/office/spreadsheetml/2017/richdata2" ref="A2:J22">
    <sortCondition sortBy="cellColor" ref="I2:I22" dxfId="61"/>
    <sortCondition sortBy="cellColor" ref="I2:I22" dxfId="60"/>
    <sortCondition sortBy="cellColor" ref="I2:I22" dxfId="59"/>
    <sortCondition sortBy="cellColor" ref="I2:I22" dxfId="58"/>
    <sortCondition descending="1" ref="I2:I2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6761-AC8A-4F89-B3A3-4BDBD0C81C93}">
  <dimension ref="A1:J24"/>
  <sheetViews>
    <sheetView zoomScale="82" zoomScaleNormal="82" workbookViewId="0">
      <selection activeCell="B20" sqref="B20"/>
    </sheetView>
  </sheetViews>
  <sheetFormatPr defaultRowHeight="16.899999999999999" x14ac:dyDescent="0.6"/>
  <cols>
    <col min="1" max="1" width="15.625" bestFit="1" customWidth="1"/>
    <col min="2" max="8" width="9.4375" bestFit="1" customWidth="1"/>
    <col min="9" max="9" width="9.125" customWidth="1"/>
    <col min="10" max="10" width="15.625" bestFit="1" customWidth="1"/>
  </cols>
  <sheetData>
    <row r="1" spans="1:10" x14ac:dyDescent="0.6">
      <c r="B1" s="10">
        <v>46076</v>
      </c>
      <c r="C1" s="13">
        <v>46077</v>
      </c>
      <c r="D1" s="13">
        <v>46078</v>
      </c>
      <c r="E1" s="13">
        <v>46079</v>
      </c>
      <c r="F1" s="13">
        <v>46080</v>
      </c>
      <c r="G1" s="10">
        <v>46081</v>
      </c>
      <c r="H1" s="10">
        <v>46082</v>
      </c>
      <c r="I1" s="1" t="s">
        <v>17</v>
      </c>
      <c r="J1" s="1" t="s">
        <v>20</v>
      </c>
    </row>
    <row r="2" spans="1:10" x14ac:dyDescent="0.6">
      <c r="A2" s="2" t="s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f t="shared" ref="I2:I23" si="0">SUM(B2:H2)</f>
        <v>7</v>
      </c>
      <c r="J2" s="3"/>
    </row>
    <row r="3" spans="1:10" x14ac:dyDescent="0.6">
      <c r="A3" s="2" t="s">
        <v>8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/>
      <c r="H3" s="3"/>
      <c r="I3" s="3">
        <f t="shared" si="0"/>
        <v>5</v>
      </c>
      <c r="J3" s="3"/>
    </row>
    <row r="4" spans="1:10" x14ac:dyDescent="0.6">
      <c r="A4" s="2" t="s">
        <v>5</v>
      </c>
      <c r="B4" s="3"/>
      <c r="C4" s="3">
        <v>1</v>
      </c>
      <c r="D4" s="3">
        <v>2</v>
      </c>
      <c r="E4" s="3">
        <v>2</v>
      </c>
      <c r="F4" s="3"/>
      <c r="G4" s="3"/>
      <c r="H4" s="3"/>
      <c r="I4" s="3">
        <f t="shared" si="0"/>
        <v>5</v>
      </c>
      <c r="J4" s="3"/>
    </row>
    <row r="5" spans="1:10" x14ac:dyDescent="0.6">
      <c r="A5" s="2" t="s">
        <v>33</v>
      </c>
      <c r="B5" s="3">
        <v>1</v>
      </c>
      <c r="C5" s="3">
        <v>1</v>
      </c>
      <c r="D5" s="3">
        <v>1</v>
      </c>
      <c r="E5" s="3"/>
      <c r="F5" s="3"/>
      <c r="G5" s="3">
        <v>1</v>
      </c>
      <c r="H5" s="3">
        <v>1</v>
      </c>
      <c r="I5" s="3">
        <f t="shared" si="0"/>
        <v>5</v>
      </c>
      <c r="J5" s="3"/>
    </row>
    <row r="6" spans="1:10" x14ac:dyDescent="0.6">
      <c r="A6" s="2" t="s">
        <v>23</v>
      </c>
      <c r="B6" s="3"/>
      <c r="C6" s="3">
        <v>1</v>
      </c>
      <c r="D6" s="3">
        <v>1</v>
      </c>
      <c r="E6" s="3">
        <v>1</v>
      </c>
      <c r="F6" s="3">
        <v>1</v>
      </c>
      <c r="G6" s="3"/>
      <c r="H6" s="3"/>
      <c r="I6" s="3">
        <f t="shared" si="0"/>
        <v>4</v>
      </c>
      <c r="J6" s="3"/>
    </row>
    <row r="7" spans="1:10" x14ac:dyDescent="0.6">
      <c r="A7" s="6" t="s">
        <v>32</v>
      </c>
      <c r="B7" s="7"/>
      <c r="C7" s="7">
        <v>1</v>
      </c>
      <c r="D7" s="7">
        <v>1</v>
      </c>
      <c r="E7" s="7"/>
      <c r="F7" s="7"/>
      <c r="G7" s="7"/>
      <c r="H7" s="7">
        <v>1</v>
      </c>
      <c r="I7" s="7">
        <f t="shared" si="0"/>
        <v>3</v>
      </c>
      <c r="J7" s="7"/>
    </row>
    <row r="8" spans="1:10" x14ac:dyDescent="0.6">
      <c r="A8" s="6" t="s">
        <v>19</v>
      </c>
      <c r="B8" s="7"/>
      <c r="C8" s="7"/>
      <c r="D8" s="7">
        <v>2</v>
      </c>
      <c r="E8" s="7"/>
      <c r="F8" s="7">
        <v>1</v>
      </c>
      <c r="G8" s="7"/>
      <c r="H8" s="7"/>
      <c r="I8" s="7">
        <f t="shared" si="0"/>
        <v>3</v>
      </c>
      <c r="J8" s="7"/>
    </row>
    <row r="9" spans="1:10" x14ac:dyDescent="0.6">
      <c r="A9" s="6" t="s">
        <v>7</v>
      </c>
      <c r="B9" s="7">
        <v>1</v>
      </c>
      <c r="C9" s="7"/>
      <c r="D9" s="7">
        <v>1</v>
      </c>
      <c r="E9" s="7"/>
      <c r="F9" s="7"/>
      <c r="G9" s="7"/>
      <c r="H9" s="7">
        <v>1</v>
      </c>
      <c r="I9" s="7">
        <f t="shared" si="0"/>
        <v>3</v>
      </c>
      <c r="J9" s="7"/>
    </row>
    <row r="10" spans="1:10" x14ac:dyDescent="0.6">
      <c r="A10" s="6" t="s">
        <v>34</v>
      </c>
      <c r="B10" s="7">
        <v>1</v>
      </c>
      <c r="C10" s="7">
        <v>1</v>
      </c>
      <c r="D10" s="7"/>
      <c r="E10" s="7">
        <v>1</v>
      </c>
      <c r="F10" s="7"/>
      <c r="G10" s="7"/>
      <c r="H10" s="7"/>
      <c r="I10" s="7">
        <f t="shared" si="0"/>
        <v>3</v>
      </c>
      <c r="J10" s="7" t="s">
        <v>36</v>
      </c>
    </row>
    <row r="11" spans="1:10" x14ac:dyDescent="0.6">
      <c r="A11" s="6" t="s">
        <v>9</v>
      </c>
      <c r="B11" s="7"/>
      <c r="C11" s="7">
        <v>1</v>
      </c>
      <c r="D11" s="7"/>
      <c r="E11" s="7"/>
      <c r="F11" s="7"/>
      <c r="G11" s="7">
        <v>1</v>
      </c>
      <c r="H11" s="7">
        <v>1</v>
      </c>
      <c r="I11" s="7">
        <f t="shared" si="0"/>
        <v>3</v>
      </c>
      <c r="J11" s="7"/>
    </row>
    <row r="12" spans="1:10" x14ac:dyDescent="0.6">
      <c r="A12" s="6" t="s">
        <v>18</v>
      </c>
      <c r="B12" s="7"/>
      <c r="C12" s="7"/>
      <c r="D12" s="7"/>
      <c r="E12" s="7"/>
      <c r="F12" s="7"/>
      <c r="G12" s="7">
        <v>2</v>
      </c>
      <c r="H12" s="7"/>
      <c r="I12" s="7">
        <f t="shared" si="0"/>
        <v>2</v>
      </c>
      <c r="J12" s="7"/>
    </row>
    <row r="13" spans="1:10" x14ac:dyDescent="0.6">
      <c r="A13" s="6" t="s">
        <v>12</v>
      </c>
      <c r="B13" s="7"/>
      <c r="C13" s="7"/>
      <c r="D13" s="7"/>
      <c r="E13" s="7">
        <v>1</v>
      </c>
      <c r="F13" s="7">
        <v>1</v>
      </c>
      <c r="G13" s="7"/>
      <c r="H13" s="7">
        <v>1</v>
      </c>
      <c r="I13" s="7">
        <f t="shared" si="0"/>
        <v>3</v>
      </c>
      <c r="J13" s="7"/>
    </row>
    <row r="14" spans="1:10" x14ac:dyDescent="0.6">
      <c r="A14" s="6" t="s">
        <v>26</v>
      </c>
      <c r="B14" s="7"/>
      <c r="C14" s="7"/>
      <c r="D14" s="7">
        <v>1</v>
      </c>
      <c r="E14" s="7"/>
      <c r="F14" s="7"/>
      <c r="G14" s="7"/>
      <c r="H14" s="7"/>
      <c r="I14" s="7">
        <f t="shared" si="0"/>
        <v>1</v>
      </c>
      <c r="J14" s="7"/>
    </row>
    <row r="15" spans="1:10" x14ac:dyDescent="0.6">
      <c r="A15" s="8" t="s">
        <v>24</v>
      </c>
      <c r="B15" s="9"/>
      <c r="C15" s="9"/>
      <c r="D15" s="9"/>
      <c r="E15" s="9"/>
      <c r="F15" s="9"/>
      <c r="G15" s="9"/>
      <c r="H15" s="9"/>
      <c r="I15" s="9">
        <f t="shared" si="0"/>
        <v>0</v>
      </c>
      <c r="J15" s="9" t="s">
        <v>35</v>
      </c>
    </row>
    <row r="16" spans="1:10" x14ac:dyDescent="0.6">
      <c r="A16" s="8" t="s">
        <v>25</v>
      </c>
      <c r="B16" s="9"/>
      <c r="C16" s="9"/>
      <c r="D16" s="9"/>
      <c r="E16" s="9"/>
      <c r="F16" s="9"/>
      <c r="G16" s="9"/>
      <c r="H16" s="9"/>
      <c r="I16" s="9">
        <f t="shared" si="0"/>
        <v>0</v>
      </c>
      <c r="J16" s="9" t="s">
        <v>205</v>
      </c>
    </row>
    <row r="17" spans="1:10" x14ac:dyDescent="0.6">
      <c r="A17" s="4" t="s">
        <v>14</v>
      </c>
      <c r="B17" s="5">
        <v>2</v>
      </c>
      <c r="C17" s="5">
        <v>2</v>
      </c>
      <c r="D17" s="5"/>
      <c r="E17" s="5"/>
      <c r="F17" s="5">
        <v>2</v>
      </c>
      <c r="G17" s="5"/>
      <c r="H17" s="5"/>
      <c r="I17" s="5">
        <f t="shared" si="0"/>
        <v>6</v>
      </c>
      <c r="J17" s="5"/>
    </row>
    <row r="18" spans="1:10" x14ac:dyDescent="0.6">
      <c r="A18" s="11" t="s">
        <v>3</v>
      </c>
      <c r="B18" s="12">
        <v>3</v>
      </c>
      <c r="C18" s="12">
        <v>1</v>
      </c>
      <c r="D18" s="12"/>
      <c r="E18" s="12">
        <v>1</v>
      </c>
      <c r="F18" s="12"/>
      <c r="G18" s="12"/>
      <c r="H18" s="12"/>
      <c r="I18" s="12">
        <f t="shared" si="0"/>
        <v>5</v>
      </c>
      <c r="J18" s="5"/>
    </row>
    <row r="19" spans="1:10" x14ac:dyDescent="0.6">
      <c r="A19" s="4" t="s">
        <v>2</v>
      </c>
      <c r="B19" s="5"/>
      <c r="C19" s="5"/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f t="shared" si="0"/>
        <v>5</v>
      </c>
      <c r="J19" s="5"/>
    </row>
    <row r="20" spans="1:10" x14ac:dyDescent="0.6">
      <c r="A20" s="4" t="s">
        <v>22</v>
      </c>
      <c r="B20" s="5"/>
      <c r="C20" s="5"/>
      <c r="D20" s="5"/>
      <c r="E20" s="5">
        <v>1</v>
      </c>
      <c r="F20" s="5">
        <v>1</v>
      </c>
      <c r="G20" s="5">
        <v>1</v>
      </c>
      <c r="H20" s="5">
        <v>1</v>
      </c>
      <c r="I20" s="5">
        <f t="shared" si="0"/>
        <v>4</v>
      </c>
      <c r="J20" s="5"/>
    </row>
    <row r="21" spans="1:10" x14ac:dyDescent="0.6">
      <c r="A21" s="4" t="s">
        <v>22</v>
      </c>
      <c r="B21" s="5"/>
      <c r="C21" s="5"/>
      <c r="D21" s="5"/>
      <c r="E21" s="5">
        <v>1</v>
      </c>
      <c r="F21" s="5">
        <v>1</v>
      </c>
      <c r="G21" s="5">
        <v>1</v>
      </c>
      <c r="H21" s="5">
        <v>1</v>
      </c>
      <c r="I21" s="5">
        <f t="shared" si="0"/>
        <v>4</v>
      </c>
      <c r="J21" s="5"/>
    </row>
    <row r="22" spans="1:10" x14ac:dyDescent="0.6">
      <c r="A22" s="4" t="s">
        <v>11</v>
      </c>
      <c r="B22" s="5"/>
      <c r="C22" s="5">
        <v>1</v>
      </c>
      <c r="D22" s="5"/>
      <c r="E22" s="5">
        <v>1</v>
      </c>
      <c r="F22" s="5">
        <v>1</v>
      </c>
      <c r="G22" s="5">
        <v>1</v>
      </c>
      <c r="H22" s="5">
        <v>1</v>
      </c>
      <c r="I22" s="5">
        <f t="shared" si="0"/>
        <v>5</v>
      </c>
      <c r="J22" s="5"/>
    </row>
    <row r="23" spans="1:10" x14ac:dyDescent="0.6">
      <c r="A23" s="4" t="s">
        <v>0</v>
      </c>
      <c r="B23" s="5"/>
      <c r="C23" s="5"/>
      <c r="D23" s="5"/>
      <c r="E23" s="5"/>
      <c r="F23" s="5">
        <v>1</v>
      </c>
      <c r="G23" s="5"/>
      <c r="H23" s="5"/>
      <c r="I23" s="5">
        <f t="shared" si="0"/>
        <v>1</v>
      </c>
      <c r="J23" s="5"/>
    </row>
    <row r="24" spans="1:10" x14ac:dyDescent="0.6">
      <c r="B24" s="7">
        <f t="shared" ref="B24:H24" si="1">SUM(B2:B23)</f>
        <v>10</v>
      </c>
      <c r="C24" s="3">
        <f t="shared" si="1"/>
        <v>12</v>
      </c>
      <c r="D24" s="3">
        <f t="shared" si="1"/>
        <v>12</v>
      </c>
      <c r="E24" s="3">
        <f t="shared" si="1"/>
        <v>12</v>
      </c>
      <c r="F24" s="3">
        <f t="shared" si="1"/>
        <v>12</v>
      </c>
      <c r="G24" s="7">
        <f t="shared" si="1"/>
        <v>9</v>
      </c>
      <c r="H24" s="7">
        <f t="shared" si="1"/>
        <v>10</v>
      </c>
      <c r="I24" s="1">
        <f>SUM(I2:I23)</f>
        <v>77</v>
      </c>
      <c r="J24" s="1"/>
    </row>
  </sheetData>
  <sortState xmlns:xlrd2="http://schemas.microsoft.com/office/spreadsheetml/2017/richdata2" ref="A17:J24">
    <sortCondition descending="1" ref="I17:I24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6DD3-C913-490C-9880-7798F50C1C83}">
  <dimension ref="A1:J28"/>
  <sheetViews>
    <sheetView tabSelected="1" zoomScale="67" zoomScaleNormal="84" workbookViewId="0">
      <selection activeCell="H35" sqref="H35"/>
    </sheetView>
  </sheetViews>
  <sheetFormatPr defaultRowHeight="16.899999999999999" x14ac:dyDescent="0.6"/>
  <cols>
    <col min="1" max="1" width="15.625" bestFit="1" customWidth="1"/>
    <col min="2" max="8" width="9.4375" bestFit="1" customWidth="1"/>
    <col min="9" max="9" width="9.125" customWidth="1"/>
    <col min="10" max="10" width="23.0625" bestFit="1" customWidth="1"/>
  </cols>
  <sheetData>
    <row r="1" spans="1:10" x14ac:dyDescent="0.6">
      <c r="B1" s="13">
        <v>46083</v>
      </c>
      <c r="C1" s="13">
        <v>46084</v>
      </c>
      <c r="D1" s="13">
        <v>46085</v>
      </c>
      <c r="E1" s="13">
        <v>46086</v>
      </c>
      <c r="F1" s="10">
        <v>46087</v>
      </c>
      <c r="G1" s="13">
        <v>46088</v>
      </c>
      <c r="H1" s="10">
        <v>46089</v>
      </c>
      <c r="I1" s="1" t="s">
        <v>17</v>
      </c>
      <c r="J1" s="1" t="s">
        <v>20</v>
      </c>
    </row>
    <row r="2" spans="1:10" x14ac:dyDescent="0.6">
      <c r="A2" s="2" t="s">
        <v>19</v>
      </c>
      <c r="B2" s="3"/>
      <c r="C2" s="3">
        <v>1</v>
      </c>
      <c r="D2" s="3">
        <v>2</v>
      </c>
      <c r="E2" s="3">
        <v>1</v>
      </c>
      <c r="F2" s="3">
        <v>2</v>
      </c>
      <c r="G2" s="3"/>
      <c r="H2" s="3">
        <v>2</v>
      </c>
      <c r="I2" s="3">
        <f t="shared" ref="I2:I27" si="0">SUM(B2:H2)</f>
        <v>8</v>
      </c>
      <c r="J2" s="13" t="s">
        <v>42</v>
      </c>
    </row>
    <row r="3" spans="1:10" x14ac:dyDescent="0.6">
      <c r="A3" s="2" t="s">
        <v>32</v>
      </c>
      <c r="B3" s="3">
        <v>1</v>
      </c>
      <c r="C3" s="3"/>
      <c r="D3" s="3"/>
      <c r="E3" s="3">
        <v>2</v>
      </c>
      <c r="F3" s="3">
        <v>1</v>
      </c>
      <c r="G3" s="3">
        <v>1</v>
      </c>
      <c r="H3" s="3">
        <v>1</v>
      </c>
      <c r="I3" s="3">
        <f t="shared" si="0"/>
        <v>6</v>
      </c>
      <c r="J3" s="3"/>
    </row>
    <row r="4" spans="1:10" x14ac:dyDescent="0.6">
      <c r="A4" s="2" t="s">
        <v>38</v>
      </c>
      <c r="B4" s="3">
        <v>1</v>
      </c>
      <c r="C4" s="3"/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f t="shared" si="0"/>
        <v>6</v>
      </c>
      <c r="J4" s="3"/>
    </row>
    <row r="5" spans="1:10" x14ac:dyDescent="0.6">
      <c r="A5" s="2" t="s">
        <v>5</v>
      </c>
      <c r="B5" s="3">
        <v>1</v>
      </c>
      <c r="C5" s="3">
        <v>2</v>
      </c>
      <c r="D5" s="3">
        <v>1</v>
      </c>
      <c r="E5" s="3">
        <v>1</v>
      </c>
      <c r="F5" s="3"/>
      <c r="G5" s="3"/>
      <c r="H5" s="3"/>
      <c r="I5" s="3">
        <f t="shared" si="0"/>
        <v>5</v>
      </c>
      <c r="J5" s="3"/>
    </row>
    <row r="6" spans="1:10" x14ac:dyDescent="0.6">
      <c r="A6" s="2" t="s">
        <v>18</v>
      </c>
      <c r="B6" s="3">
        <v>2</v>
      </c>
      <c r="C6" s="3"/>
      <c r="D6" s="3">
        <v>1</v>
      </c>
      <c r="E6" s="3"/>
      <c r="F6" s="3"/>
      <c r="G6" s="3">
        <v>1</v>
      </c>
      <c r="H6" s="3">
        <v>1</v>
      </c>
      <c r="I6" s="3">
        <f t="shared" si="0"/>
        <v>5</v>
      </c>
      <c r="J6" s="3"/>
    </row>
    <row r="7" spans="1:10" x14ac:dyDescent="0.6">
      <c r="A7" s="2" t="s">
        <v>15</v>
      </c>
      <c r="B7" s="3"/>
      <c r="C7" s="3"/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f t="shared" si="0"/>
        <v>5</v>
      </c>
      <c r="J7" s="3"/>
    </row>
    <row r="8" spans="1:10" x14ac:dyDescent="0.6">
      <c r="A8" s="2" t="s">
        <v>23</v>
      </c>
      <c r="B8" s="3">
        <v>1</v>
      </c>
      <c r="C8" s="3">
        <v>1</v>
      </c>
      <c r="D8" s="3">
        <v>1</v>
      </c>
      <c r="E8" s="3">
        <v>1</v>
      </c>
      <c r="F8" s="3"/>
      <c r="G8" s="3"/>
      <c r="H8" s="3"/>
      <c r="I8" s="3">
        <f t="shared" si="0"/>
        <v>4</v>
      </c>
      <c r="J8" s="3" t="s">
        <v>43</v>
      </c>
    </row>
    <row r="9" spans="1:10" x14ac:dyDescent="0.6">
      <c r="A9" s="2" t="s">
        <v>7</v>
      </c>
      <c r="B9" s="3"/>
      <c r="C9" s="3">
        <v>1</v>
      </c>
      <c r="D9" s="3">
        <v>1</v>
      </c>
      <c r="E9" s="3">
        <v>1</v>
      </c>
      <c r="F9" s="3"/>
      <c r="G9" s="3">
        <v>1</v>
      </c>
      <c r="H9" s="3"/>
      <c r="I9" s="3">
        <f t="shared" si="0"/>
        <v>4</v>
      </c>
      <c r="J9" s="13" t="s">
        <v>42</v>
      </c>
    </row>
    <row r="10" spans="1:10" x14ac:dyDescent="0.6">
      <c r="A10" s="6" t="s">
        <v>9</v>
      </c>
      <c r="B10" s="7"/>
      <c r="C10" s="7"/>
      <c r="D10" s="7"/>
      <c r="E10" s="7"/>
      <c r="F10" s="7"/>
      <c r="G10" s="7">
        <v>1</v>
      </c>
      <c r="H10" s="7"/>
      <c r="I10" s="7">
        <f t="shared" si="0"/>
        <v>1</v>
      </c>
      <c r="J10" s="7"/>
    </row>
    <row r="11" spans="1:10" x14ac:dyDescent="0.6">
      <c r="A11" s="6" t="s">
        <v>26</v>
      </c>
      <c r="B11" s="7"/>
      <c r="C11" s="7"/>
      <c r="D11" s="7"/>
      <c r="E11" s="7"/>
      <c r="F11" s="7"/>
      <c r="G11" s="7"/>
      <c r="H11" s="7"/>
      <c r="I11" s="7">
        <f t="shared" si="0"/>
        <v>0</v>
      </c>
      <c r="J11" s="7"/>
    </row>
    <row r="12" spans="1:10" x14ac:dyDescent="0.6">
      <c r="A12" s="8" t="s">
        <v>1</v>
      </c>
      <c r="B12" s="9"/>
      <c r="C12" s="9">
        <v>1</v>
      </c>
      <c r="D12" s="9"/>
      <c r="E12" s="9">
        <v>1</v>
      </c>
      <c r="F12" s="9"/>
      <c r="G12" s="9">
        <v>1</v>
      </c>
      <c r="H12" s="9">
        <v>1</v>
      </c>
      <c r="I12" s="9">
        <f t="shared" si="0"/>
        <v>4</v>
      </c>
      <c r="J12" s="9" t="s">
        <v>44</v>
      </c>
    </row>
    <row r="13" spans="1:10" x14ac:dyDescent="0.6">
      <c r="A13" s="8" t="s">
        <v>37</v>
      </c>
      <c r="B13" s="9">
        <v>1</v>
      </c>
      <c r="C13" s="9">
        <v>1</v>
      </c>
      <c r="D13" s="9"/>
      <c r="E13" s="9"/>
      <c r="F13" s="9"/>
      <c r="G13" s="9">
        <v>2</v>
      </c>
      <c r="H13" s="9"/>
      <c r="I13" s="9">
        <f t="shared" si="0"/>
        <v>4</v>
      </c>
      <c r="J13" s="9" t="s">
        <v>203</v>
      </c>
    </row>
    <row r="14" spans="1:10" x14ac:dyDescent="0.6">
      <c r="A14" s="8" t="s">
        <v>12</v>
      </c>
      <c r="B14" s="9"/>
      <c r="C14" s="9">
        <v>1</v>
      </c>
      <c r="D14" s="9">
        <v>1</v>
      </c>
      <c r="E14" s="9">
        <v>1</v>
      </c>
      <c r="F14" s="9"/>
      <c r="G14" s="9"/>
      <c r="H14" s="9"/>
      <c r="I14" s="9">
        <f t="shared" si="0"/>
        <v>3</v>
      </c>
      <c r="J14" s="9"/>
    </row>
    <row r="15" spans="1:10" x14ac:dyDescent="0.6">
      <c r="A15" s="8" t="s">
        <v>8</v>
      </c>
      <c r="B15" s="9">
        <v>1</v>
      </c>
      <c r="C15" s="9"/>
      <c r="D15" s="9"/>
      <c r="E15" s="9"/>
      <c r="F15" s="9"/>
      <c r="G15" s="9"/>
      <c r="H15" s="9">
        <v>1</v>
      </c>
      <c r="I15" s="9">
        <f t="shared" si="0"/>
        <v>2</v>
      </c>
      <c r="J15" s="9" t="s">
        <v>45</v>
      </c>
    </row>
    <row r="16" spans="1:10" x14ac:dyDescent="0.6">
      <c r="A16" s="8" t="s">
        <v>33</v>
      </c>
      <c r="B16" s="9"/>
      <c r="C16" s="9"/>
      <c r="D16" s="9"/>
      <c r="E16" s="9"/>
      <c r="F16" s="9">
        <v>1</v>
      </c>
      <c r="G16" s="9">
        <v>1</v>
      </c>
      <c r="H16" s="9"/>
      <c r="I16" s="9">
        <f t="shared" si="0"/>
        <v>2</v>
      </c>
      <c r="J16" s="9" t="s">
        <v>41</v>
      </c>
    </row>
    <row r="17" spans="1:10" x14ac:dyDescent="0.6">
      <c r="A17" s="8" t="s">
        <v>25</v>
      </c>
      <c r="B17" s="9"/>
      <c r="C17" s="9"/>
      <c r="D17" s="9"/>
      <c r="E17" s="9"/>
      <c r="F17" s="9"/>
      <c r="G17" s="9"/>
      <c r="H17" s="9"/>
      <c r="I17" s="9">
        <f t="shared" si="0"/>
        <v>0</v>
      </c>
      <c r="J17" s="9" t="s">
        <v>206</v>
      </c>
    </row>
    <row r="18" spans="1:10" x14ac:dyDescent="0.6">
      <c r="A18" s="4" t="s">
        <v>2</v>
      </c>
      <c r="B18" s="5">
        <v>1</v>
      </c>
      <c r="C18" s="5">
        <v>1</v>
      </c>
      <c r="D18" s="5"/>
      <c r="E18" s="5">
        <v>1</v>
      </c>
      <c r="F18" s="5">
        <v>1</v>
      </c>
      <c r="G18" s="5">
        <v>1</v>
      </c>
      <c r="H18" s="5">
        <v>1</v>
      </c>
      <c r="I18" s="5">
        <f t="shared" si="0"/>
        <v>6</v>
      </c>
      <c r="J18" s="5"/>
    </row>
    <row r="19" spans="1:10" x14ac:dyDescent="0.6">
      <c r="A19" s="4" t="s">
        <v>39</v>
      </c>
      <c r="B19" s="5">
        <v>1</v>
      </c>
      <c r="C19" s="5">
        <v>1</v>
      </c>
      <c r="D19" s="5">
        <v>1</v>
      </c>
      <c r="E19" s="5"/>
      <c r="F19" s="5">
        <v>1</v>
      </c>
      <c r="G19" s="5"/>
      <c r="H19" s="5"/>
      <c r="I19" s="5">
        <f t="shared" si="0"/>
        <v>4</v>
      </c>
      <c r="J19" s="5" t="s">
        <v>201</v>
      </c>
    </row>
    <row r="20" spans="1:10" x14ac:dyDescent="0.6">
      <c r="A20" s="4" t="s">
        <v>22</v>
      </c>
      <c r="B20" s="5"/>
      <c r="C20" s="5"/>
      <c r="D20" s="5">
        <v>1</v>
      </c>
      <c r="E20" s="5"/>
      <c r="F20" s="5">
        <v>1</v>
      </c>
      <c r="G20" s="5">
        <v>1</v>
      </c>
      <c r="H20" s="5">
        <v>1</v>
      </c>
      <c r="I20" s="5">
        <f t="shared" si="0"/>
        <v>4</v>
      </c>
      <c r="J20" s="5" t="s">
        <v>44</v>
      </c>
    </row>
    <row r="21" spans="1:10" x14ac:dyDescent="0.6">
      <c r="A21" s="4" t="s">
        <v>14</v>
      </c>
      <c r="B21" s="5">
        <v>1</v>
      </c>
      <c r="C21" s="5"/>
      <c r="D21" s="5">
        <v>1</v>
      </c>
      <c r="E21" s="5"/>
      <c r="F21" s="5"/>
      <c r="G21" s="5"/>
      <c r="H21" s="5"/>
      <c r="I21" s="5">
        <f t="shared" si="0"/>
        <v>2</v>
      </c>
      <c r="J21" s="5"/>
    </row>
    <row r="22" spans="1:10" x14ac:dyDescent="0.6">
      <c r="A22" s="4" t="s">
        <v>0</v>
      </c>
      <c r="B22" s="5">
        <v>1</v>
      </c>
      <c r="C22" s="5"/>
      <c r="D22" s="5"/>
      <c r="E22" s="5"/>
      <c r="F22" s="5">
        <v>1</v>
      </c>
      <c r="G22" s="5"/>
      <c r="H22" s="5"/>
      <c r="I22" s="5">
        <f t="shared" si="0"/>
        <v>2</v>
      </c>
      <c r="J22" s="5" t="s">
        <v>123</v>
      </c>
    </row>
    <row r="23" spans="1:10" x14ac:dyDescent="0.6">
      <c r="A23" s="4" t="s">
        <v>40</v>
      </c>
      <c r="B23" s="5"/>
      <c r="C23" s="5"/>
      <c r="D23" s="5"/>
      <c r="E23" s="5">
        <v>1</v>
      </c>
      <c r="F23" s="5"/>
      <c r="G23" s="5"/>
      <c r="H23" s="5"/>
      <c r="I23" s="5">
        <f t="shared" si="0"/>
        <v>1</v>
      </c>
      <c r="J23" s="5" t="s">
        <v>89</v>
      </c>
    </row>
    <row r="24" spans="1:10" x14ac:dyDescent="0.6">
      <c r="A24" s="4" t="s">
        <v>224</v>
      </c>
      <c r="B24" s="5"/>
      <c r="C24" s="5">
        <v>1</v>
      </c>
      <c r="D24" s="5"/>
      <c r="E24" s="5"/>
      <c r="F24" s="5"/>
      <c r="G24" s="5"/>
      <c r="H24" s="5"/>
      <c r="I24" s="5">
        <f t="shared" si="0"/>
        <v>1</v>
      </c>
      <c r="J24" s="5" t="s">
        <v>204</v>
      </c>
    </row>
    <row r="25" spans="1:10" x14ac:dyDescent="0.6">
      <c r="A25" s="4" t="s">
        <v>11</v>
      </c>
      <c r="B25" s="5"/>
      <c r="C25" s="5">
        <v>1</v>
      </c>
      <c r="D25" s="5"/>
      <c r="E25" s="5"/>
      <c r="F25" s="5"/>
      <c r="G25" s="5"/>
      <c r="H25" s="5"/>
      <c r="I25" s="5">
        <f t="shared" si="0"/>
        <v>1</v>
      </c>
      <c r="J25" s="5"/>
    </row>
    <row r="26" spans="1:10" x14ac:dyDescent="0.6">
      <c r="A26" s="4" t="s">
        <v>46</v>
      </c>
      <c r="B26" s="5"/>
      <c r="C26" s="5"/>
      <c r="D26" s="5"/>
      <c r="E26" s="5"/>
      <c r="F26" s="5"/>
      <c r="G26" s="5"/>
      <c r="H26" s="5">
        <v>1</v>
      </c>
      <c r="I26" s="5">
        <f t="shared" si="0"/>
        <v>1</v>
      </c>
      <c r="J26" s="5" t="s">
        <v>201</v>
      </c>
    </row>
    <row r="27" spans="1:10" x14ac:dyDescent="0.6">
      <c r="A27" s="11" t="s">
        <v>3</v>
      </c>
      <c r="B27" s="12"/>
      <c r="C27" s="12"/>
      <c r="D27" s="12"/>
      <c r="E27" s="12"/>
      <c r="F27" s="12"/>
      <c r="G27" s="12"/>
      <c r="H27" s="12"/>
      <c r="I27" s="12">
        <f t="shared" si="0"/>
        <v>0</v>
      </c>
      <c r="J27" s="5"/>
    </row>
    <row r="28" spans="1:10" x14ac:dyDescent="0.6">
      <c r="B28" s="3">
        <f t="shared" ref="B28:H28" si="1">SUM(B2:B27)</f>
        <v>12</v>
      </c>
      <c r="C28" s="3">
        <f t="shared" si="1"/>
        <v>12</v>
      </c>
      <c r="D28" s="3">
        <f t="shared" si="1"/>
        <v>12</v>
      </c>
      <c r="E28" s="3">
        <f t="shared" si="1"/>
        <v>12</v>
      </c>
      <c r="F28" s="7">
        <f t="shared" si="1"/>
        <v>10</v>
      </c>
      <c r="G28" s="3">
        <f t="shared" si="1"/>
        <v>12</v>
      </c>
      <c r="H28" s="7">
        <f t="shared" si="1"/>
        <v>11</v>
      </c>
      <c r="I28" s="1"/>
      <c r="J28" s="1"/>
    </row>
  </sheetData>
  <sortState xmlns:xlrd2="http://schemas.microsoft.com/office/spreadsheetml/2017/richdata2" ref="A2:J27">
    <sortCondition sortBy="cellColor" ref="I2:I27" dxfId="57"/>
    <sortCondition sortBy="cellColor" ref="I2:I27" dxfId="56"/>
    <sortCondition sortBy="cellColor" ref="I2:I27" dxfId="55"/>
    <sortCondition sortBy="cellColor" ref="I2:I27" dxfId="54"/>
    <sortCondition descending="1" ref="I2:I27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C640-37F8-42ED-B3B0-79CF2F7EC94A}">
  <dimension ref="A1:J25"/>
  <sheetViews>
    <sheetView zoomScale="70" zoomScaleNormal="70" workbookViewId="0">
      <selection activeCell="J34" sqref="J34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23.0625" bestFit="1" customWidth="1"/>
  </cols>
  <sheetData>
    <row r="1" spans="1:10" x14ac:dyDescent="0.6">
      <c r="B1" s="10">
        <v>46090</v>
      </c>
      <c r="C1" s="10">
        <v>46091</v>
      </c>
      <c r="D1" s="13">
        <v>46092</v>
      </c>
      <c r="E1" s="13">
        <v>46093</v>
      </c>
      <c r="F1" s="13">
        <v>46094</v>
      </c>
      <c r="G1" s="13">
        <v>46095</v>
      </c>
      <c r="H1" s="13">
        <v>46096</v>
      </c>
      <c r="I1" s="1" t="s">
        <v>50</v>
      </c>
      <c r="J1" s="1" t="s">
        <v>20</v>
      </c>
    </row>
    <row r="2" spans="1:10" x14ac:dyDescent="0.6">
      <c r="A2" s="2" t="s">
        <v>22</v>
      </c>
      <c r="B2" s="3" t="s">
        <v>48</v>
      </c>
      <c r="C2" s="3" t="s">
        <v>47</v>
      </c>
      <c r="D2" s="3" t="s">
        <v>47</v>
      </c>
      <c r="E2" s="3" t="s">
        <v>47</v>
      </c>
      <c r="F2" s="3" t="s">
        <v>54</v>
      </c>
      <c r="G2" s="3" t="s">
        <v>54</v>
      </c>
      <c r="H2" s="3" t="s">
        <v>61</v>
      </c>
      <c r="I2" s="3" t="str" cm="1">
        <f t="array" ref="I2">IF(COUNTA(B2:H2)=0,"0 (0%)",SUMPRODUCT(LEN(B2:H2))&amp;" ("&amp;TEXT(SUMPRODUCT(LEN(B2:H2)-LEN(SUBSTITUTE(B2:H2,"W","")))/SUMPRODUCT(LEN(B2:H2)),"0%")&amp;")")</f>
        <v>7 (71%)</v>
      </c>
      <c r="J2" s="3" t="s">
        <v>44</v>
      </c>
    </row>
    <row r="3" spans="1:10" x14ac:dyDescent="0.6">
      <c r="A3" s="2" t="s">
        <v>12</v>
      </c>
      <c r="B3" s="3" t="s">
        <v>48</v>
      </c>
      <c r="C3" s="3" t="s">
        <v>48</v>
      </c>
      <c r="D3" s="3" t="s">
        <v>47</v>
      </c>
      <c r="E3" s="3" t="s">
        <v>48</v>
      </c>
      <c r="F3" s="3" t="s">
        <v>54</v>
      </c>
      <c r="G3" s="3" t="s">
        <v>53</v>
      </c>
      <c r="H3" s="3" t="s">
        <v>58</v>
      </c>
      <c r="I3" s="3" t="str" cm="1">
        <f t="array" ref="I3">IF(COUNTA(B3:H3)=0,"0 (0%)",SUMPRODUCT(LEN(B3:H3))&amp;" ("&amp;TEXT(SUMPRODUCT(LEN(B3:H3)-LEN(SUBSTITUTE(B3:H3,"W","")))/SUMPRODUCT(LEN(B3:H3)),"0%")&amp;")")</f>
        <v>7 (43%)</v>
      </c>
      <c r="J3" s="3"/>
    </row>
    <row r="4" spans="1:10" x14ac:dyDescent="0.6">
      <c r="A4" s="2" t="s">
        <v>32</v>
      </c>
      <c r="B4" s="3"/>
      <c r="C4" s="3" t="s">
        <v>47</v>
      </c>
      <c r="D4" s="3" t="s">
        <v>47</v>
      </c>
      <c r="E4" s="3" t="s">
        <v>48</v>
      </c>
      <c r="F4" s="3" t="s">
        <v>53</v>
      </c>
      <c r="G4" s="3" t="s">
        <v>53</v>
      </c>
      <c r="H4" s="3" t="s">
        <v>59</v>
      </c>
      <c r="I4" s="3" t="str" cm="1">
        <f t="array" ref="I4">IF(COUNTA(B4:H4)=0,"0 (0%)",SUMPRODUCT(LEN(B4:H4))&amp;" ("&amp;TEXT(SUMPRODUCT(LEN(B4:H4)-LEN(SUBSTITUTE(B4:H4,"W","")))/SUMPRODUCT(LEN(B4:H4)),"0%")&amp;")")</f>
        <v>6 (33%)</v>
      </c>
      <c r="J4" s="3"/>
    </row>
    <row r="5" spans="1:10" x14ac:dyDescent="0.6">
      <c r="A5" s="2" t="s">
        <v>38</v>
      </c>
      <c r="B5" s="3"/>
      <c r="C5" s="3" t="s">
        <v>48</v>
      </c>
      <c r="D5" s="3" t="s">
        <v>48</v>
      </c>
      <c r="E5" s="3" t="s">
        <v>48</v>
      </c>
      <c r="F5" s="3" t="s">
        <v>54</v>
      </c>
      <c r="G5" s="3" t="s">
        <v>53</v>
      </c>
      <c r="H5" s="3" t="s">
        <v>58</v>
      </c>
      <c r="I5" s="3" t="str" cm="1">
        <f t="array" ref="I5">IF(COUNTA(B5:H5)=0,"0 (0%)",SUMPRODUCT(LEN(B5:H5))&amp;" ("&amp;TEXT(SUMPRODUCT(LEN(B5:H5)-LEN(SUBSTITUTE(B5:H5,"W","")))/SUMPRODUCT(LEN(B5:H5)),"0%")&amp;")")</f>
        <v>6 (33%)</v>
      </c>
      <c r="J5" s="3"/>
    </row>
    <row r="6" spans="1:10" x14ac:dyDescent="0.6">
      <c r="A6" s="2" t="s">
        <v>55</v>
      </c>
      <c r="B6" s="3" t="s">
        <v>47</v>
      </c>
      <c r="C6" s="3" t="s">
        <v>47</v>
      </c>
      <c r="D6" s="3" t="s">
        <v>47</v>
      </c>
      <c r="E6" s="3" t="s">
        <v>48</v>
      </c>
      <c r="F6" s="3" t="s">
        <v>53</v>
      </c>
      <c r="G6" s="3"/>
      <c r="H6" s="3"/>
      <c r="I6" s="3" t="str" cm="1">
        <f t="array" ref="I6">IF(COUNTA(B6:H6)=0,"0 (0%)",SUMPRODUCT(LEN(B6:H6))&amp;" ("&amp;TEXT(SUMPRODUCT(LEN(B6:H6)-LEN(SUBSTITUTE(B6:H6,"W","")))/SUMPRODUCT(LEN(B6:H6)),"0%")&amp;")")</f>
        <v>5 (60%)</v>
      </c>
      <c r="J6" s="3"/>
    </row>
    <row r="7" spans="1:10" x14ac:dyDescent="0.6">
      <c r="A7" s="2" t="s">
        <v>5</v>
      </c>
      <c r="B7" s="3" t="s">
        <v>49</v>
      </c>
      <c r="C7" s="3" t="s">
        <v>49</v>
      </c>
      <c r="D7" s="3"/>
      <c r="E7" s="3" t="s">
        <v>47</v>
      </c>
      <c r="F7" s="3"/>
      <c r="G7" s="3"/>
      <c r="H7" s="3"/>
      <c r="I7" s="3" t="str" cm="1">
        <f t="array" ref="I7">IF(COUNTA(B7:H7)=0,"0 (0%)",SUMPRODUCT(LEN(B7:H7))&amp;" ("&amp;TEXT(SUMPRODUCT(LEN(B7:H7)-LEN(SUBSTITUTE(B7:H7,"W","")))/SUMPRODUCT(LEN(B7:H7)),"0%")&amp;")")</f>
        <v>5 (20%)</v>
      </c>
      <c r="J7" s="3"/>
    </row>
    <row r="8" spans="1:10" x14ac:dyDescent="0.6">
      <c r="A8" s="2" t="s">
        <v>7</v>
      </c>
      <c r="B8" s="3"/>
      <c r="C8" s="3" t="s">
        <v>47</v>
      </c>
      <c r="D8" s="3" t="s">
        <v>47</v>
      </c>
      <c r="E8" s="3"/>
      <c r="F8" s="3" t="s">
        <v>53</v>
      </c>
      <c r="G8" s="3"/>
      <c r="H8" s="3"/>
      <c r="I8" s="3" t="str" cm="1">
        <f t="array" ref="I8">IF(COUNTA(B8:H8)=0,"0 (0%)",SUMPRODUCT(LEN(B8:H8))&amp;" ("&amp;TEXT(SUMPRODUCT(LEN(B8:H8)-LEN(SUBSTITUTE(B8:H8,"W","")))/SUMPRODUCT(LEN(B8:H8)),"0%")&amp;")")</f>
        <v>3 (67%)</v>
      </c>
      <c r="J8" s="13" t="s">
        <v>42</v>
      </c>
    </row>
    <row r="9" spans="1:10" x14ac:dyDescent="0.6">
      <c r="A9" s="6" t="s">
        <v>18</v>
      </c>
      <c r="B9" s="7" t="s">
        <v>47</v>
      </c>
      <c r="C9" s="7"/>
      <c r="D9" s="7"/>
      <c r="E9" s="7"/>
      <c r="F9" s="7"/>
      <c r="G9" s="7" t="s">
        <v>54</v>
      </c>
      <c r="H9" s="7" t="s">
        <v>61</v>
      </c>
      <c r="I9" s="7" t="str" cm="1">
        <f t="array" ref="I9">IF(COUNTA(B9:H9)=0,"0 (0%)",SUMPRODUCT(LEN(B9:H9))&amp;" ("&amp;TEXT(SUMPRODUCT(LEN(B9:H9)-LEN(SUBSTITUTE(B9:H9,"W","")))/SUMPRODUCT(LEN(B9:H9)),"0%")&amp;")")</f>
        <v>3 (67%)</v>
      </c>
      <c r="J9" s="7"/>
    </row>
    <row r="10" spans="1:10" x14ac:dyDescent="0.6">
      <c r="A10" s="6" t="s">
        <v>15</v>
      </c>
      <c r="B10" s="7"/>
      <c r="C10" s="7"/>
      <c r="D10" s="7"/>
      <c r="E10" s="7" t="s">
        <v>48</v>
      </c>
      <c r="F10" s="7" t="s">
        <v>53</v>
      </c>
      <c r="G10" s="7"/>
      <c r="H10" s="7" t="s">
        <v>58</v>
      </c>
      <c r="I10" s="7" t="str" cm="1">
        <f t="array" ref="I10">IF(COUNTA(B10:H10)=0,"0 (0%)",SUMPRODUCT(LEN(B10:H10))&amp;" ("&amp;TEXT(SUMPRODUCT(LEN(B10:H10)-LEN(SUBSTITUTE(B10:H10,"W","")))/SUMPRODUCT(LEN(B10:H10)),"0%")&amp;")")</f>
        <v>3 (33%)</v>
      </c>
      <c r="J10" s="7"/>
    </row>
    <row r="11" spans="1:10" x14ac:dyDescent="0.6">
      <c r="A11" s="6" t="s">
        <v>19</v>
      </c>
      <c r="B11" s="7" t="s">
        <v>48</v>
      </c>
      <c r="C11" s="7"/>
      <c r="D11" s="7"/>
      <c r="E11" s="7"/>
      <c r="F11" s="7" t="s">
        <v>53</v>
      </c>
      <c r="G11" s="7"/>
      <c r="H11" s="7" t="s">
        <v>59</v>
      </c>
      <c r="I11" s="7" t="str" cm="1">
        <f t="array" ref="I11">IF(COUNTA(B11:H11)=0,"0 (0%)",SUMPRODUCT(LEN(B11:H11))&amp;" ("&amp;TEXT(SUMPRODUCT(LEN(B11:H11)-LEN(SUBSTITUTE(B11:H11,"W","")))/SUMPRODUCT(LEN(B11:H11)),"0%")&amp;")")</f>
        <v>3 (0%)</v>
      </c>
      <c r="J11" s="10" t="s">
        <v>42</v>
      </c>
    </row>
    <row r="12" spans="1:10" x14ac:dyDescent="0.6">
      <c r="A12" s="6" t="s">
        <v>9</v>
      </c>
      <c r="B12" s="7"/>
      <c r="C12" s="7"/>
      <c r="D12" s="7" t="s">
        <v>48</v>
      </c>
      <c r="E12" s="7" t="s">
        <v>48</v>
      </c>
      <c r="F12" s="7"/>
      <c r="G12" s="7"/>
      <c r="H12" s="7"/>
      <c r="I12" s="7" t="str" cm="1">
        <f t="array" ref="I12">IF(COUNTA(B12:H12)=0,"0 (0%)",SUMPRODUCT(LEN(B12:H12))&amp;" ("&amp;TEXT(SUMPRODUCT(LEN(B12:H12)-LEN(SUBSTITUTE(B12:H12,"W","")))/SUMPRODUCT(LEN(B12:H12)),"0%")&amp;")")</f>
        <v>2 (0%)</v>
      </c>
      <c r="J12" s="7"/>
    </row>
    <row r="13" spans="1:10" x14ac:dyDescent="0.6">
      <c r="A13" s="8" t="s">
        <v>33</v>
      </c>
      <c r="B13" s="9" t="s">
        <v>48</v>
      </c>
      <c r="C13" s="9" t="s">
        <v>48</v>
      </c>
      <c r="D13" s="9"/>
      <c r="E13" s="9"/>
      <c r="F13" s="9"/>
      <c r="G13" s="9" t="s">
        <v>54</v>
      </c>
      <c r="H13" s="9" t="s">
        <v>59</v>
      </c>
      <c r="I13" s="9" t="str" cm="1">
        <f t="array" ref="I13">IF(COUNTA(B13:H13)=0,"0 (0%)",SUMPRODUCT(LEN(B13:H13))&amp;" ("&amp;TEXT(SUMPRODUCT(LEN(B13:H13)-LEN(SUBSTITUTE(B13:H13,"W","")))/SUMPRODUCT(LEN(B13:H13)),"0%")&amp;")")</f>
        <v>4 (25%)</v>
      </c>
      <c r="J13" s="9" t="s">
        <v>41</v>
      </c>
    </row>
    <row r="14" spans="1:10" x14ac:dyDescent="0.6">
      <c r="A14" s="8" t="s">
        <v>51</v>
      </c>
      <c r="B14" s="9"/>
      <c r="C14" s="9"/>
      <c r="D14" s="9" t="s">
        <v>48</v>
      </c>
      <c r="E14" s="9"/>
      <c r="F14" s="9" t="s">
        <v>53</v>
      </c>
      <c r="G14" s="9" t="s">
        <v>53</v>
      </c>
      <c r="H14" s="9" t="s">
        <v>60</v>
      </c>
      <c r="I14" s="9" t="str" cm="1">
        <f t="array" ref="I14">IF(COUNTA(B14:H14)=0,"0 (0%)",SUMPRODUCT(LEN(B14:H14))&amp;" ("&amp;TEXT(SUMPRODUCT(LEN(B14:H14)-LEN(SUBSTITUTE(B14:H14,"W","")))/SUMPRODUCT(LEN(B14:H14)),"0%")&amp;")")</f>
        <v>4 (25%)</v>
      </c>
      <c r="J14" s="9" t="s">
        <v>56</v>
      </c>
    </row>
    <row r="15" spans="1:10" x14ac:dyDescent="0.6">
      <c r="A15" s="8" t="s">
        <v>1</v>
      </c>
      <c r="B15" s="9"/>
      <c r="C15" s="9"/>
      <c r="D15" s="9" t="s">
        <v>48</v>
      </c>
      <c r="E15" s="9"/>
      <c r="F15" s="9"/>
      <c r="G15" s="9" t="s">
        <v>54</v>
      </c>
      <c r="H15" s="9" t="s">
        <v>61</v>
      </c>
      <c r="I15" s="9" t="str" cm="1">
        <f t="array" ref="I15">IF(COUNTA(B15:H15)=0,"0 (0%)",SUMPRODUCT(LEN(B15:H15))&amp;" ("&amp;TEXT(SUMPRODUCT(LEN(B15:H15)-LEN(SUBSTITUTE(B15:H15,"W","")))/SUMPRODUCT(LEN(B15:H15)),"0%")&amp;")")</f>
        <v>3 (33%)</v>
      </c>
      <c r="J15" s="9" t="s">
        <v>44</v>
      </c>
    </row>
    <row r="16" spans="1:10" x14ac:dyDescent="0.6">
      <c r="A16" s="8" t="s">
        <v>221</v>
      </c>
      <c r="B16" s="9"/>
      <c r="C16" s="9"/>
      <c r="D16" s="9"/>
      <c r="E16" s="9" t="s">
        <v>47</v>
      </c>
      <c r="F16" s="9"/>
      <c r="G16" s="9" t="s">
        <v>54</v>
      </c>
      <c r="H16" s="9"/>
      <c r="I16" s="9" t="str" cm="1">
        <f t="array" ref="I16">IF(COUNTA(B16:H16)=0,"0 (0%)",SUMPRODUCT(LEN(B16:H16))&amp;" ("&amp;TEXT(SUMPRODUCT(LEN(B16:H16)-LEN(SUBSTITUTE(B16:H16,"W","")))/SUMPRODUCT(LEN(B16:H16)),"0%")&amp;")")</f>
        <v>2 (100%)</v>
      </c>
      <c r="J16" s="9" t="s">
        <v>202</v>
      </c>
    </row>
    <row r="17" spans="1:10" x14ac:dyDescent="0.6">
      <c r="A17" s="4" t="s">
        <v>46</v>
      </c>
      <c r="B17" s="5" t="s">
        <v>47</v>
      </c>
      <c r="C17" s="5" t="s">
        <v>47</v>
      </c>
      <c r="D17" s="5" t="s">
        <v>48</v>
      </c>
      <c r="E17" s="5" t="s">
        <v>47</v>
      </c>
      <c r="F17" s="5"/>
      <c r="G17" s="5"/>
      <c r="H17" s="5"/>
      <c r="I17" s="5" t="str" cm="1">
        <f t="array" ref="I17">IF(COUNTA(B17:H17)=0,"0 (0%)",SUMPRODUCT(LEN(B17:H17))&amp;" ("&amp;TEXT(SUMPRODUCT(LEN(B17:H17)-LEN(SUBSTITUTE(B17:H17,"W","")))/SUMPRODUCT(LEN(B17:H17)),"0%")&amp;")")</f>
        <v>4 (75%)</v>
      </c>
      <c r="J17" s="5" t="s">
        <v>201</v>
      </c>
    </row>
    <row r="18" spans="1:10" x14ac:dyDescent="0.6">
      <c r="A18" s="4" t="s">
        <v>2</v>
      </c>
      <c r="B18" s="5" t="s">
        <v>47</v>
      </c>
      <c r="C18" s="5"/>
      <c r="D18" s="5" t="s">
        <v>47</v>
      </c>
      <c r="E18" s="5"/>
      <c r="F18" s="5" t="s">
        <v>54</v>
      </c>
      <c r="G18" s="5" t="s">
        <v>53</v>
      </c>
      <c r="H18" s="5"/>
      <c r="I18" s="5" t="str" cm="1">
        <f t="array" ref="I18">IF(COUNTA(B18:H18)=0,"0 (0%)",SUMPRODUCT(LEN(B18:H18))&amp;" ("&amp;TEXT(SUMPRODUCT(LEN(B18:H18)-LEN(SUBSTITUTE(B18:H18,"W","")))/SUMPRODUCT(LEN(B18:H18)),"0%")&amp;")")</f>
        <v>4 (75%)</v>
      </c>
      <c r="J18" s="5"/>
    </row>
    <row r="19" spans="1:10" x14ac:dyDescent="0.6">
      <c r="A19" s="4" t="s">
        <v>225</v>
      </c>
      <c r="B19" s="5"/>
      <c r="C19" s="5"/>
      <c r="D19" s="5"/>
      <c r="E19" s="5" t="s">
        <v>48</v>
      </c>
      <c r="F19" s="5" t="s">
        <v>54</v>
      </c>
      <c r="G19" s="5" t="s">
        <v>53</v>
      </c>
      <c r="H19" s="5" t="s">
        <v>60</v>
      </c>
      <c r="I19" s="5" t="str" cm="1">
        <f t="array" ref="I19">IF(COUNTA(B19:H19)=0,"0 (0%)",SUMPRODUCT(LEN(B19:H19))&amp;" ("&amp;TEXT(SUMPRODUCT(LEN(B19:H19)-LEN(SUBSTITUTE(B19:H19,"W","")))/SUMPRODUCT(LEN(B19:H19)),"0%")&amp;")")</f>
        <v>4 (50%)</v>
      </c>
      <c r="J19" s="5"/>
    </row>
    <row r="20" spans="1:10" x14ac:dyDescent="0.6">
      <c r="A20" s="4" t="s">
        <v>52</v>
      </c>
      <c r="B20" s="5"/>
      <c r="C20" s="5"/>
      <c r="D20" s="5" t="s">
        <v>48</v>
      </c>
      <c r="E20" s="5"/>
      <c r="F20" s="5"/>
      <c r="G20" s="5" t="s">
        <v>54</v>
      </c>
      <c r="H20" s="5" t="s">
        <v>58</v>
      </c>
      <c r="I20" s="5" t="str" cm="1">
        <f t="array" ref="I20">IF(COUNTA(B20:H20)=0,"0 (0%)",SUMPRODUCT(LEN(B20:H20))&amp;" ("&amp;TEXT(SUMPRODUCT(LEN(B20:H20)-LEN(SUBSTITUTE(B20:H20,"W","")))/SUMPRODUCT(LEN(B20:H20)),"0%")&amp;")")</f>
        <v>3 (67%)</v>
      </c>
      <c r="J20" s="5" t="s">
        <v>201</v>
      </c>
    </row>
    <row r="21" spans="1:10" x14ac:dyDescent="0.6">
      <c r="A21" s="4" t="s">
        <v>40</v>
      </c>
      <c r="B21" s="5"/>
      <c r="C21" s="5" t="s">
        <v>47</v>
      </c>
      <c r="D21" s="5"/>
      <c r="E21" s="5" t="s">
        <v>47</v>
      </c>
      <c r="F21" s="5"/>
      <c r="G21" s="5"/>
      <c r="H21" s="5"/>
      <c r="I21" s="5" t="str" cm="1">
        <f t="array" ref="I21">IF(COUNTA(B21:H21)=0,"0 (0%)",SUMPRODUCT(LEN(B21:H21))&amp;" ("&amp;TEXT(SUMPRODUCT(LEN(B21:H21)-LEN(SUBSTITUTE(B21:H21,"W","")))/SUMPRODUCT(LEN(B21:H21)),"0%")&amp;")")</f>
        <v>2 (100%)</v>
      </c>
      <c r="J21" s="5" t="s">
        <v>89</v>
      </c>
    </row>
    <row r="22" spans="1:10" x14ac:dyDescent="0.6">
      <c r="A22" s="4" t="s">
        <v>14</v>
      </c>
      <c r="B22" s="5"/>
      <c r="C22" s="5"/>
      <c r="D22" s="5"/>
      <c r="E22" s="5"/>
      <c r="F22" s="5" t="s">
        <v>54</v>
      </c>
      <c r="G22" s="5"/>
      <c r="H22" s="5"/>
      <c r="I22" s="5" t="str" cm="1">
        <f t="array" ref="I22">IF(COUNTA(B22:H22)=0,"0 (0%)",SUMPRODUCT(LEN(B22:H22))&amp;" ("&amp;TEXT(SUMPRODUCT(LEN(B22:H22)-LEN(SUBSTITUTE(B22:H22,"W","")))/SUMPRODUCT(LEN(B22:H22)),"0%")&amp;")")</f>
        <v>1 (100%)</v>
      </c>
      <c r="J22" s="5"/>
    </row>
    <row r="23" spans="1:10" x14ac:dyDescent="0.6">
      <c r="A23" s="4" t="s">
        <v>0</v>
      </c>
      <c r="B23" s="5" t="s">
        <v>48</v>
      </c>
      <c r="C23" s="5"/>
      <c r="D23" s="5"/>
      <c r="E23" s="5"/>
      <c r="F23" s="5"/>
      <c r="G23" s="5"/>
      <c r="H23" s="5"/>
      <c r="I23" s="5" t="str" cm="1">
        <f t="array" ref="I23">IF(COUNTA(B23:H23)=0,"0 (0%)",SUMPRODUCT(LEN(B23:H23))&amp;" ("&amp;TEXT(SUMPRODUCT(LEN(B23:H23)-LEN(SUBSTITUTE(B23:H23,"W","")))/SUMPRODUCT(LEN(B23:H23)),"0%")&amp;")")</f>
        <v>1 (0%)</v>
      </c>
      <c r="J23" s="5"/>
    </row>
    <row r="24" spans="1:10" x14ac:dyDescent="0.6">
      <c r="A24" s="11" t="s">
        <v>3</v>
      </c>
      <c r="B24" s="12"/>
      <c r="C24" s="12"/>
      <c r="D24" s="12"/>
      <c r="E24" s="12"/>
      <c r="F24" s="12"/>
      <c r="G24" s="12"/>
      <c r="H24" s="12"/>
      <c r="I24" s="5" t="str" cm="1">
        <f t="array" ref="I24">IF(COUNTA(B24:H24)=0,"0 (0%)",SUMPRODUCT(LEN(B24:H24))&amp;" ("&amp;TEXT(SUMPRODUCT(LEN(B24:H24)-LEN(SUBSTITUTE(B24:H24,"W","")))/SUMPRODUCT(LEN(B24:H24)),"0%")&amp;")")</f>
        <v>0 (0%)</v>
      </c>
      <c r="J24" s="5"/>
    </row>
    <row r="25" spans="1:10" x14ac:dyDescent="0.6">
      <c r="A25" s="14" t="s">
        <v>57</v>
      </c>
      <c r="B25" s="7" t="str" cm="1">
        <f t="array" ref="B25">IF(COUNTA(B2:B24)=0,"0 (0%)",SUMPRODUCT(LEN(B2:B24))&amp;" ("&amp;TEXT(SUMPRODUCT(LEN(B2:B24)-LEN(SUBSTITUTE(B2:B24,"W","")))/SUMPRODUCT(LEN(B2:B24)),"0%")&amp;")")</f>
        <v>11 (36%)</v>
      </c>
      <c r="C25" s="7" t="str" cm="1">
        <f t="array" ref="C25">IF(COUNTA(C2:C24)=0,"0 (0%)",SUMPRODUCT(LEN(C2:C24))&amp;" ("&amp;TEXT(SUMPRODUCT(LEN(C2:C24)-LEN(SUBSTITUTE(C2:C24,"W","")))/SUMPRODUCT(LEN(C2:C24)),"0%")&amp;")")</f>
        <v>11 (55%)</v>
      </c>
      <c r="D25" s="3" t="str" cm="1">
        <f t="array" ref="D25">IF(COUNTA(D2:D24)=0,"0 (0%)",SUMPRODUCT(LEN(D2:D24))&amp;" ("&amp;TEXT(SUMPRODUCT(LEN(D2:D24)-LEN(SUBSTITUTE(D2:D24,"W","")))/SUMPRODUCT(LEN(D2:D24)),"0%")&amp;")")</f>
        <v>12 (50%)</v>
      </c>
      <c r="E25" s="3" t="str" cm="1">
        <f t="array" ref="E25">IF(COUNTA(E2:E24)=0,"0 (0%)",SUMPRODUCT(LEN(E2:E24))&amp;" ("&amp;TEXT(SUMPRODUCT(LEN(E2:E24)-LEN(SUBSTITUTE(E2:E24,"W","")))/SUMPRODUCT(LEN(E2:E24)),"0%")&amp;")")</f>
        <v>12 (42%)</v>
      </c>
      <c r="F25" s="3" t="str" cm="1">
        <f t="array" ref="F25">IF(COUNTA(F2:F24)=0,"0 (0%)",SUMPRODUCT(LEN(F2:F24))&amp;" ("&amp;TEXT(SUMPRODUCT(LEN(F2:F24)-LEN(SUBSTITUTE(F2:F24,"W","")))/SUMPRODUCT(LEN(F2:F24)),"0%")&amp;")")</f>
        <v>12 (50%)</v>
      </c>
      <c r="G25" s="3" t="str" cm="1">
        <f t="array" ref="G25">IF(COUNTA(G2:G24)=0,"0 (0%)",SUMPRODUCT(LEN(G2:G24))&amp;" ("&amp;TEXT(SUMPRODUCT(LEN(G2:G24)-LEN(SUBSTITUTE(G2:G24,"W","")))/SUMPRODUCT(LEN(G2:G24)),"0%")&amp;")")</f>
        <v>12 (50%)</v>
      </c>
      <c r="H25" s="3" t="str" cm="1">
        <f t="array" ref="H25">IF(COUNTA(H2:H24)=0,"0 (0%)",SUMPRODUCT(LEN(H2:H24))&amp;" ("&amp;TEXT(SUMPRODUCT(LEN(H2:H24)-LEN(SUBSTITUTE(H2:H24,"W","")))/SUMPRODUCT(LEN(H2:H24)),"0%")&amp;")")</f>
        <v>12 (50%)</v>
      </c>
      <c r="I25" s="1"/>
      <c r="J25" s="1"/>
    </row>
  </sheetData>
  <sortState xmlns:xlrd2="http://schemas.microsoft.com/office/spreadsheetml/2017/richdata2" ref="A2:J24">
    <sortCondition sortBy="cellColor" ref="I2:I24" dxfId="53"/>
    <sortCondition sortBy="cellColor" ref="I2:I24" dxfId="52"/>
    <sortCondition sortBy="cellColor" ref="I2:I24" dxfId="51"/>
    <sortCondition sortBy="cellColor" ref="I2:I24" dxfId="50"/>
    <sortCondition descending="1" ref="I2:I24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5803-BA49-48FE-8134-5F46ACDEA039}">
  <dimension ref="A1:J27"/>
  <sheetViews>
    <sheetView zoomScale="84" workbookViewId="0">
      <selection activeCell="A2" sqref="A2:J26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23.0625" bestFit="1" customWidth="1"/>
  </cols>
  <sheetData>
    <row r="1" spans="1:10" x14ac:dyDescent="0.6">
      <c r="B1" s="13">
        <v>46097</v>
      </c>
      <c r="C1" s="13">
        <v>46098</v>
      </c>
      <c r="D1" s="13">
        <v>46099</v>
      </c>
      <c r="E1" s="13">
        <v>46100</v>
      </c>
      <c r="F1" s="13">
        <v>46101</v>
      </c>
      <c r="G1" s="13">
        <v>46102</v>
      </c>
      <c r="H1" s="13">
        <v>46103</v>
      </c>
      <c r="I1" s="1" t="s">
        <v>50</v>
      </c>
      <c r="J1" s="1" t="s">
        <v>20</v>
      </c>
    </row>
    <row r="2" spans="1:10" x14ac:dyDescent="0.6">
      <c r="A2" s="2" t="s">
        <v>32</v>
      </c>
      <c r="B2" s="3" t="s">
        <v>48</v>
      </c>
      <c r="C2" s="3" t="s">
        <v>48</v>
      </c>
      <c r="D2" s="3" t="s">
        <v>48</v>
      </c>
      <c r="E2" s="3" t="s">
        <v>47</v>
      </c>
      <c r="F2" s="3" t="s">
        <v>66</v>
      </c>
      <c r="G2" s="3" t="s">
        <v>66</v>
      </c>
      <c r="H2" s="3" t="s">
        <v>71</v>
      </c>
      <c r="I2" s="3" t="str" cm="1">
        <f t="array" ref="I2">IF(COUNTA(B2:H2)=0,"0 (0%)",SUMPRODUCT(LEN(B2:H2))&amp;" ("&amp;TEXT(SUMPRODUCT(LEN(B2:H2)-LEN(SUBSTITUTE(B2:H2,"W","")))/SUMPRODUCT(LEN(B2:H2)),"0%")&amp;")")</f>
        <v>7 (57%)</v>
      </c>
      <c r="J2" s="3"/>
    </row>
    <row r="3" spans="1:10" x14ac:dyDescent="0.6">
      <c r="A3" s="2" t="s">
        <v>12</v>
      </c>
      <c r="B3" s="3" t="s">
        <v>48</v>
      </c>
      <c r="C3" s="3" t="s">
        <v>47</v>
      </c>
      <c r="D3" s="3" t="s">
        <v>48</v>
      </c>
      <c r="E3" s="3" t="s">
        <v>47</v>
      </c>
      <c r="F3" s="3" t="s">
        <v>66</v>
      </c>
      <c r="G3" s="3" t="s">
        <v>68</v>
      </c>
      <c r="H3" s="3" t="s">
        <v>72</v>
      </c>
      <c r="I3" s="3" t="str" cm="1">
        <f t="array" ref="I3">IF(COUNTA(B3:H3)=0,"0 (0%)",SUMPRODUCT(LEN(B3:H3))&amp;" ("&amp;TEXT(SUMPRODUCT(LEN(B3:H3)-LEN(SUBSTITUTE(B3:H3,"W","")))/SUMPRODUCT(LEN(B3:H3)),"0%")&amp;")")</f>
        <v>7 (43%)</v>
      </c>
      <c r="J3" s="3"/>
    </row>
    <row r="4" spans="1:10" x14ac:dyDescent="0.6">
      <c r="A4" s="2" t="s">
        <v>63</v>
      </c>
      <c r="B4" s="3"/>
      <c r="C4" s="3"/>
      <c r="D4" s="3" t="s">
        <v>47</v>
      </c>
      <c r="E4" s="3" t="s">
        <v>47</v>
      </c>
      <c r="F4" s="3" t="s">
        <v>67</v>
      </c>
      <c r="G4" s="3" t="s">
        <v>68</v>
      </c>
      <c r="H4" s="3" t="s">
        <v>72</v>
      </c>
      <c r="I4" s="3" t="str" cm="1">
        <f t="array" ref="I4">IF(COUNTA(B4:H4)=0,"0 (0%)",SUMPRODUCT(LEN(B4:H4))&amp;" ("&amp;TEXT(SUMPRODUCT(LEN(B4:H4)-LEN(SUBSTITUTE(B4:H4,"W","")))/SUMPRODUCT(LEN(B4:H4)),"0%")&amp;")")</f>
        <v>6 (67%)</v>
      </c>
      <c r="J4" s="3" t="s">
        <v>30</v>
      </c>
    </row>
    <row r="5" spans="1:10" x14ac:dyDescent="0.6">
      <c r="A5" s="2" t="s">
        <v>19</v>
      </c>
      <c r="B5" s="3" t="s">
        <v>47</v>
      </c>
      <c r="C5" s="3" t="s">
        <v>47</v>
      </c>
      <c r="D5" s="3" t="s">
        <v>47</v>
      </c>
      <c r="E5" s="3" t="s">
        <v>48</v>
      </c>
      <c r="F5" s="3"/>
      <c r="G5" s="3"/>
      <c r="H5" s="3" t="s">
        <v>71</v>
      </c>
      <c r="I5" s="3" t="str" cm="1">
        <f t="array" ref="I5">IF(COUNTA(B5:H5)=0,"0 (0%)",SUMPRODUCT(LEN(B5:H5))&amp;" ("&amp;TEXT(SUMPRODUCT(LEN(B5:H5)-LEN(SUBSTITUTE(B5:H5,"W","")))/SUMPRODUCT(LEN(B5:H5)),"0%")&amp;")")</f>
        <v>5 (80%)</v>
      </c>
      <c r="J5" s="13" t="s">
        <v>42</v>
      </c>
    </row>
    <row r="6" spans="1:10" x14ac:dyDescent="0.6">
      <c r="A6" s="2" t="s">
        <v>33</v>
      </c>
      <c r="B6" s="3"/>
      <c r="C6" s="3"/>
      <c r="D6" s="3" t="s">
        <v>48</v>
      </c>
      <c r="E6" s="3" t="s">
        <v>47</v>
      </c>
      <c r="F6" s="3" t="s">
        <v>66</v>
      </c>
      <c r="G6" s="3" t="s">
        <v>66</v>
      </c>
      <c r="H6" s="3" t="s">
        <v>71</v>
      </c>
      <c r="I6" s="3" t="str" cm="1">
        <f t="array" ref="I6">IF(COUNTA(B6:H6)=0,"0 (0%)",SUMPRODUCT(LEN(B6:H6))&amp;" ("&amp;TEXT(SUMPRODUCT(LEN(B6:H6)-LEN(SUBSTITUTE(B6:H6,"W","")))/SUMPRODUCT(LEN(B6:H6)),"0%")&amp;")")</f>
        <v>5 (80%)</v>
      </c>
      <c r="J6" s="3" t="s">
        <v>41</v>
      </c>
    </row>
    <row r="7" spans="1:10" x14ac:dyDescent="0.6">
      <c r="A7" s="2" t="s">
        <v>9</v>
      </c>
      <c r="B7" s="3" t="s">
        <v>48</v>
      </c>
      <c r="C7" s="3" t="s">
        <v>48</v>
      </c>
      <c r="D7" s="3"/>
      <c r="E7" s="3" t="s">
        <v>48</v>
      </c>
      <c r="F7" s="3" t="s">
        <v>66</v>
      </c>
      <c r="G7" s="3"/>
      <c r="H7" s="3" t="s">
        <v>71</v>
      </c>
      <c r="I7" s="3" t="str" cm="1">
        <f t="array" ref="I7">IF(COUNTA(B7:H7)=0,"0 (0%)",SUMPRODUCT(LEN(B7:H7))&amp;" ("&amp;TEXT(SUMPRODUCT(LEN(B7:H7)-LEN(SUBSTITUTE(B7:H7,"W","")))/SUMPRODUCT(LEN(B7:H7)),"0%")&amp;")")</f>
        <v>5 (40%)</v>
      </c>
      <c r="J7" s="3"/>
    </row>
    <row r="8" spans="1:10" x14ac:dyDescent="0.6">
      <c r="A8" s="2" t="s">
        <v>22</v>
      </c>
      <c r="B8" s="3" t="s">
        <v>48</v>
      </c>
      <c r="C8" s="3"/>
      <c r="D8" s="3" t="s">
        <v>48</v>
      </c>
      <c r="E8" s="3"/>
      <c r="F8" s="3" t="s">
        <v>66</v>
      </c>
      <c r="G8" s="3" t="s">
        <v>68</v>
      </c>
      <c r="H8" s="3" t="s">
        <v>71</v>
      </c>
      <c r="I8" s="3" t="str" cm="1">
        <f t="array" ref="I8">IF(COUNTA(B8:H8)=0,"0 (0%)",SUMPRODUCT(LEN(B8:H8))&amp;" ("&amp;TEXT(SUMPRODUCT(LEN(B8:H8)-LEN(SUBSTITUTE(B8:H8,"W","")))/SUMPRODUCT(LEN(B8:H8)),"0%")&amp;")")</f>
        <v>5 (40%)</v>
      </c>
      <c r="J8" s="3" t="s">
        <v>44</v>
      </c>
    </row>
    <row r="9" spans="1:10" x14ac:dyDescent="0.6">
      <c r="A9" s="2" t="s">
        <v>38</v>
      </c>
      <c r="B9" s="3"/>
      <c r="C9" s="3" t="s">
        <v>48</v>
      </c>
      <c r="D9" s="3" t="s">
        <v>48</v>
      </c>
      <c r="E9" s="3" t="s">
        <v>47</v>
      </c>
      <c r="F9" s="3"/>
      <c r="G9" s="3" t="s">
        <v>68</v>
      </c>
      <c r="H9" s="3" t="s">
        <v>72</v>
      </c>
      <c r="I9" s="3" t="str" cm="1">
        <f t="array" ref="I9">IF(COUNTA(B9:H9)=0,"0 (0%)",SUMPRODUCT(LEN(B9:H9))&amp;" ("&amp;TEXT(SUMPRODUCT(LEN(B9:H9)-LEN(SUBSTITUTE(B9:H9,"W","")))/SUMPRODUCT(LEN(B9:H9)),"0%")&amp;")")</f>
        <v>5 (20%)</v>
      </c>
      <c r="J9" s="3"/>
    </row>
    <row r="10" spans="1:10" x14ac:dyDescent="0.6">
      <c r="A10" s="2" t="s">
        <v>221</v>
      </c>
      <c r="B10" s="3"/>
      <c r="C10" s="3" t="s">
        <v>48</v>
      </c>
      <c r="D10" s="3"/>
      <c r="E10" s="3" t="s">
        <v>48</v>
      </c>
      <c r="F10" s="3"/>
      <c r="G10" s="3" t="s">
        <v>68</v>
      </c>
      <c r="H10" s="3" t="s">
        <v>71</v>
      </c>
      <c r="I10" s="3" t="str" cm="1">
        <f t="array" ref="I10">IF(COUNTA(B10:H10)=0,"0 (0%)",SUMPRODUCT(LEN(B10:H10))&amp;" ("&amp;TEXT(SUMPRODUCT(LEN(B10:H10)-LEN(SUBSTITUTE(B10:H10,"W","")))/SUMPRODUCT(LEN(B10:H10)),"0%")&amp;")")</f>
        <v>4 (25%)</v>
      </c>
      <c r="J10" s="3" t="s">
        <v>65</v>
      </c>
    </row>
    <row r="11" spans="1:10" x14ac:dyDescent="0.6">
      <c r="A11" s="2" t="s">
        <v>7</v>
      </c>
      <c r="B11" s="3"/>
      <c r="C11" s="3" t="s">
        <v>47</v>
      </c>
      <c r="D11" s="3"/>
      <c r="E11" s="3" t="s">
        <v>48</v>
      </c>
      <c r="F11" s="3"/>
      <c r="G11" s="3" t="s">
        <v>68</v>
      </c>
      <c r="H11" s="3"/>
      <c r="I11" s="3" t="str" cm="1">
        <f t="array" ref="I11">IF(COUNTA(B11:H11)=0,"0 (0%)",SUMPRODUCT(LEN(B11:H11))&amp;" ("&amp;TEXT(SUMPRODUCT(LEN(B11:H11)-LEN(SUBSTITUTE(B11:H11,"W","")))/SUMPRODUCT(LEN(B11:H11)),"0%")&amp;")")</f>
        <v>3 (33%)</v>
      </c>
      <c r="J11" s="13" t="s">
        <v>69</v>
      </c>
    </row>
    <row r="12" spans="1:10" x14ac:dyDescent="0.6">
      <c r="A12" s="6" t="s">
        <v>5</v>
      </c>
      <c r="B12" s="7" t="s">
        <v>47</v>
      </c>
      <c r="C12" s="7" t="s">
        <v>47</v>
      </c>
      <c r="D12" s="7" t="s">
        <v>48</v>
      </c>
      <c r="E12" s="7" t="s">
        <v>47</v>
      </c>
      <c r="F12" s="7"/>
      <c r="G12" s="7"/>
      <c r="H12" s="7"/>
      <c r="I12" s="7" t="str" cm="1">
        <f t="array" ref="I12">IF(COUNTA(B12:H12)=0,"0 (0%)",SUMPRODUCT(LEN(B12:H12))&amp;" ("&amp;TEXT(SUMPRODUCT(LEN(B12:H12)-LEN(SUBSTITUTE(B12:H12,"W","")))/SUMPRODUCT(LEN(B12:H12)),"0%")&amp;")")</f>
        <v>4 (75%)</v>
      </c>
      <c r="J12" s="7"/>
    </row>
    <row r="13" spans="1:10" x14ac:dyDescent="0.6">
      <c r="A13" s="6" t="s">
        <v>15</v>
      </c>
      <c r="B13" s="7" t="s">
        <v>48</v>
      </c>
      <c r="C13" s="7"/>
      <c r="D13" s="7" t="s">
        <v>47</v>
      </c>
      <c r="E13" s="7"/>
      <c r="F13" s="7"/>
      <c r="G13" s="7" t="s">
        <v>68</v>
      </c>
      <c r="H13" s="7"/>
      <c r="I13" s="7" t="str" cm="1">
        <f t="array" ref="I13">IF(COUNTA(B13:H13)=0,"0 (0%)",SUMPRODUCT(LEN(B13:H13))&amp;" ("&amp;TEXT(SUMPRODUCT(LEN(B13:H13)-LEN(SUBSTITUTE(B13:H13,"W","")))/SUMPRODUCT(LEN(B13:H13)),"0%")&amp;")")</f>
        <v>3 (33%)</v>
      </c>
      <c r="J13" s="7"/>
    </row>
    <row r="14" spans="1:10" x14ac:dyDescent="0.6">
      <c r="A14" s="6" t="s">
        <v>51</v>
      </c>
      <c r="B14" s="7"/>
      <c r="C14" s="7"/>
      <c r="D14" s="7" t="s">
        <v>47</v>
      </c>
      <c r="E14" s="7"/>
      <c r="F14" s="7" t="s">
        <v>66</v>
      </c>
      <c r="G14" s="7"/>
      <c r="H14" s="7"/>
      <c r="I14" s="7" t="str" cm="1">
        <f t="array" ref="I14">IF(COUNTA(B14:H14)=0,"0 (0%)",SUMPRODUCT(LEN(B14:H14))&amp;" ("&amp;TEXT(SUMPRODUCT(LEN(B14:H14)-LEN(SUBSTITUTE(B14:H14,"W","")))/SUMPRODUCT(LEN(B14:H14)),"0%")&amp;")")</f>
        <v>2 (100%)</v>
      </c>
      <c r="J14" s="7"/>
    </row>
    <row r="15" spans="1:10" x14ac:dyDescent="0.6">
      <c r="A15" s="8" t="s">
        <v>55</v>
      </c>
      <c r="B15" s="9" t="s">
        <v>48</v>
      </c>
      <c r="C15" s="9" t="s">
        <v>47</v>
      </c>
      <c r="D15" s="9"/>
      <c r="E15" s="9"/>
      <c r="F15" s="9"/>
      <c r="G15" s="9"/>
      <c r="H15" s="9"/>
      <c r="I15" s="9" t="str" cm="1">
        <f t="array" ref="I15">IF(COUNTA(B15:H15)=0,"0 (0%)",SUMPRODUCT(LEN(B15:H15))&amp;" ("&amp;TEXT(SUMPRODUCT(LEN(B15:H15)-LEN(SUBSTITUTE(B15:H15,"W","")))/SUMPRODUCT(LEN(B15:H15)),"0%")&amp;")")</f>
        <v>2 (50%)</v>
      </c>
      <c r="J15" s="9" t="s">
        <v>70</v>
      </c>
    </row>
    <row r="16" spans="1:10" x14ac:dyDescent="0.6">
      <c r="A16" s="8" t="s">
        <v>62</v>
      </c>
      <c r="B16" s="9"/>
      <c r="C16" s="9" t="s">
        <v>48</v>
      </c>
      <c r="D16" s="9" t="s">
        <v>47</v>
      </c>
      <c r="E16" s="9"/>
      <c r="F16" s="9"/>
      <c r="G16" s="9"/>
      <c r="H16" s="9"/>
      <c r="I16" s="9" t="str" cm="1">
        <f t="array" ref="I16">IF(COUNTA(B16:H16)=0,"0 (0%)",SUMPRODUCT(LEN(B16:H16))&amp;" ("&amp;TEXT(SUMPRODUCT(LEN(B16:H16)-LEN(SUBSTITUTE(B16:H16,"W","")))/SUMPRODUCT(LEN(B16:H16)),"0%")&amp;")")</f>
        <v>2 (50%)</v>
      </c>
      <c r="J16" s="9" t="s">
        <v>64</v>
      </c>
    </row>
    <row r="17" spans="1:10" x14ac:dyDescent="0.6">
      <c r="A17" s="8" t="s">
        <v>1</v>
      </c>
      <c r="B17" s="9"/>
      <c r="C17" s="9"/>
      <c r="D17" s="9"/>
      <c r="E17" s="9"/>
      <c r="F17" s="9"/>
      <c r="G17" s="9" t="s">
        <v>66</v>
      </c>
      <c r="H17" s="9" t="s">
        <v>72</v>
      </c>
      <c r="I17" s="9" t="str" cm="1">
        <f t="array" ref="I17">IF(COUNTA(B17:H17)=0,"0 (0%)",SUMPRODUCT(LEN(B17:H17))&amp;" ("&amp;TEXT(SUMPRODUCT(LEN(B17:H17)-LEN(SUBSTITUTE(B17:H17,"W","")))/SUMPRODUCT(LEN(B17:H17)),"0%")&amp;")")</f>
        <v>2 (50%)</v>
      </c>
      <c r="J17" s="9" t="s">
        <v>44</v>
      </c>
    </row>
    <row r="18" spans="1:10" x14ac:dyDescent="0.6">
      <c r="A18" s="8" t="s">
        <v>18</v>
      </c>
      <c r="B18" s="9"/>
      <c r="C18" s="9"/>
      <c r="D18" s="9"/>
      <c r="E18" s="9"/>
      <c r="F18" s="9"/>
      <c r="G18" s="9"/>
      <c r="H18" s="9"/>
      <c r="I18" s="9" t="str" cm="1">
        <f t="array" ref="I18">IF(COUNTA(B18:H18)=0,"0 (0%)",SUMPRODUCT(LEN(B18:H18))&amp;" ("&amp;TEXT(SUMPRODUCT(LEN(B18:H18)-LEN(SUBSTITUTE(B18:H18,"W","")))/SUMPRODUCT(LEN(B18:H18)),"0%")&amp;")")</f>
        <v>0 (0%)</v>
      </c>
      <c r="J18" s="9" t="s">
        <v>70</v>
      </c>
    </row>
    <row r="19" spans="1:10" x14ac:dyDescent="0.6">
      <c r="A19" s="4" t="s">
        <v>225</v>
      </c>
      <c r="B19" s="5" t="s">
        <v>47</v>
      </c>
      <c r="C19" s="5" t="s">
        <v>47</v>
      </c>
      <c r="D19" s="5" t="s">
        <v>47</v>
      </c>
      <c r="E19" s="5" t="s">
        <v>48</v>
      </c>
      <c r="F19" s="5"/>
      <c r="G19" s="5" t="s">
        <v>66</v>
      </c>
      <c r="H19" s="5" t="s">
        <v>72</v>
      </c>
      <c r="I19" s="5" t="str" cm="1">
        <f t="array" ref="I19">IF(COUNTA(B19:H19)=0,"0 (0%)",SUMPRODUCT(LEN(B19:H19))&amp;" ("&amp;TEXT(SUMPRODUCT(LEN(B19:H19)-LEN(SUBSTITUTE(B19:H19,"W","")))/SUMPRODUCT(LEN(B19:H19)),"0%")&amp;")")</f>
        <v>6 (67%)</v>
      </c>
      <c r="J19" s="5"/>
    </row>
    <row r="20" spans="1:10" x14ac:dyDescent="0.6">
      <c r="A20" s="4" t="s">
        <v>52</v>
      </c>
      <c r="B20" s="5" t="s">
        <v>49</v>
      </c>
      <c r="C20" s="5"/>
      <c r="D20" s="5"/>
      <c r="E20" s="5" t="s">
        <v>48</v>
      </c>
      <c r="F20" s="5" t="s">
        <v>67</v>
      </c>
      <c r="G20" s="5"/>
      <c r="H20" s="5"/>
      <c r="I20" s="5" t="str" cm="1">
        <f t="array" ref="I20">IF(COUNTA(B20:H20)=0,"0 (0%)",SUMPRODUCT(LEN(B20:H20))&amp;" ("&amp;TEXT(SUMPRODUCT(LEN(B20:H20)-LEN(SUBSTITUTE(B20:H20,"W","")))/SUMPRODUCT(LEN(B20:H20)),"0%")&amp;")")</f>
        <v>5 (40%)</v>
      </c>
      <c r="J20" s="5" t="s">
        <v>201</v>
      </c>
    </row>
    <row r="21" spans="1:10" x14ac:dyDescent="0.6">
      <c r="A21" s="4" t="s">
        <v>2</v>
      </c>
      <c r="B21" s="5"/>
      <c r="C21" s="5"/>
      <c r="D21" s="5"/>
      <c r="E21" s="5"/>
      <c r="F21" s="5" t="s">
        <v>68</v>
      </c>
      <c r="G21" s="5" t="s">
        <v>68</v>
      </c>
      <c r="H21" s="5" t="s">
        <v>71</v>
      </c>
      <c r="I21" s="5" t="str" cm="1">
        <f t="array" ref="I21">IF(COUNTA(B21:H21)=0,"0 (0%)",SUMPRODUCT(LEN(B21:H21))&amp;" ("&amp;TEXT(SUMPRODUCT(LEN(B21:H21)-LEN(SUBSTITUTE(B21:H21,"W","")))/SUMPRODUCT(LEN(B21:H21)),"0%")&amp;")")</f>
        <v>3 (33%)</v>
      </c>
      <c r="J21" s="5"/>
    </row>
    <row r="22" spans="1:10" x14ac:dyDescent="0.6">
      <c r="A22" s="4" t="s">
        <v>46</v>
      </c>
      <c r="B22" s="5" t="s">
        <v>47</v>
      </c>
      <c r="C22" s="5" t="s">
        <v>48</v>
      </c>
      <c r="D22" s="5"/>
      <c r="E22" s="5"/>
      <c r="F22" s="5"/>
      <c r="G22" s="5"/>
      <c r="H22" s="5"/>
      <c r="I22" s="5" t="str" cm="1">
        <f t="array" ref="I22">IF(COUNTA(B22:H22)=0,"0 (0%)",SUMPRODUCT(LEN(B22:H22))&amp;" ("&amp;TEXT(SUMPRODUCT(LEN(B22:H22)-LEN(SUBSTITUTE(B22:H22,"W","")))/SUMPRODUCT(LEN(B22:H22)),"0%")&amp;")")</f>
        <v>2 (50%)</v>
      </c>
      <c r="J22" s="5" t="s">
        <v>201</v>
      </c>
    </row>
    <row r="23" spans="1:10" x14ac:dyDescent="0.6">
      <c r="A23" s="4" t="s">
        <v>40</v>
      </c>
      <c r="B23" s="5"/>
      <c r="C23" s="5"/>
      <c r="D23" s="5"/>
      <c r="E23" s="5"/>
      <c r="F23" s="5" t="s">
        <v>66</v>
      </c>
      <c r="G23" s="5"/>
      <c r="H23" s="5"/>
      <c r="I23" s="5" t="str" cm="1">
        <f t="array" ref="I23">IF(COUNTA(B23:H23)=0,"0 (0%)",SUMPRODUCT(LEN(B23:H23))&amp;" ("&amp;TEXT(SUMPRODUCT(LEN(B23:H23)-LEN(SUBSTITUTE(B23:H23,"W","")))/SUMPRODUCT(LEN(B23:H23)),"0%")&amp;")")</f>
        <v>1 (100%)</v>
      </c>
      <c r="J23" s="5" t="s">
        <v>89</v>
      </c>
    </row>
    <row r="24" spans="1:10" x14ac:dyDescent="0.6">
      <c r="A24" s="4" t="s">
        <v>14</v>
      </c>
      <c r="B24" s="5"/>
      <c r="C24" s="5"/>
      <c r="D24" s="5"/>
      <c r="E24" s="5"/>
      <c r="F24" s="5"/>
      <c r="G24" s="5"/>
      <c r="H24" s="5"/>
      <c r="I24" s="5" t="str" cm="1">
        <f t="array" ref="I24">IF(COUNTA(B24:H24)=0,"0 (0%)",SUMPRODUCT(LEN(B24:H24))&amp;" ("&amp;TEXT(SUMPRODUCT(LEN(B24:H24)-LEN(SUBSTITUTE(B24:H24,"W","")))/SUMPRODUCT(LEN(B24:H24)),"0%")&amp;")")</f>
        <v>0 (0%)</v>
      </c>
      <c r="J24" s="5"/>
    </row>
    <row r="25" spans="1:10" x14ac:dyDescent="0.6">
      <c r="A25" s="4" t="s">
        <v>0</v>
      </c>
      <c r="B25" s="5"/>
      <c r="C25" s="5"/>
      <c r="D25" s="5"/>
      <c r="E25" s="5"/>
      <c r="F25" s="5"/>
      <c r="G25" s="5"/>
      <c r="H25" s="5"/>
      <c r="I25" s="5" t="str" cm="1">
        <f t="array" ref="I25">IF(COUNTA(B25:H25)=0,"0 (0%)",SUMPRODUCT(LEN(B25:H25))&amp;" ("&amp;TEXT(SUMPRODUCT(LEN(B25:H25)-LEN(SUBSTITUTE(B25:H25,"W","")))/SUMPRODUCT(LEN(B25:H25)),"0%")&amp;")")</f>
        <v>0 (0%)</v>
      </c>
      <c r="J25" s="5"/>
    </row>
    <row r="26" spans="1:10" x14ac:dyDescent="0.6">
      <c r="A26" s="11" t="s">
        <v>3</v>
      </c>
      <c r="B26" s="12"/>
      <c r="C26" s="12"/>
      <c r="D26" s="12"/>
      <c r="E26" s="12"/>
      <c r="F26" s="12"/>
      <c r="G26" s="12"/>
      <c r="H26" s="12"/>
      <c r="I26" s="5" t="str" cm="1">
        <f t="array" ref="I26">IF(COUNTA(B26:H26)=0,"0 (0%)",SUMPRODUCT(LEN(B26:H26))&amp;" ("&amp;TEXT(SUMPRODUCT(LEN(B26:H26)-LEN(SUBSTITUTE(B26:H26,"W","")))/SUMPRODUCT(LEN(B26:H26)),"0%")&amp;")")</f>
        <v>0 (0%)</v>
      </c>
      <c r="J26" s="5"/>
    </row>
    <row r="27" spans="1:10" x14ac:dyDescent="0.6">
      <c r="A27" s="14" t="s">
        <v>50</v>
      </c>
      <c r="B27" s="3" t="str" cm="1">
        <f t="array" ref="B27">IF(COUNTA(B2:B26)=0,"0 (0%)",SUMPRODUCT(LEN(B2:B26))&amp;" ("&amp;TEXT(SUMPRODUCT(LEN(B2:B26)-LEN(SUBSTITUTE(B2:B26,"W","")))/SUMPRODUCT(LEN(B2:B26)),"0%")&amp;")")</f>
        <v>12 (33%)</v>
      </c>
      <c r="C27" s="3" t="str" cm="1">
        <f t="array" ref="C27">IF(COUNTA(C2:C26)=0,"0 (0%)",SUMPRODUCT(LEN(C2:C26))&amp;" ("&amp;TEXT(SUMPRODUCT(LEN(C2:C26)-LEN(SUBSTITUTE(C2:C26,"W","")))/SUMPRODUCT(LEN(C2:C26)),"0%")&amp;")")</f>
        <v>12 (50%)</v>
      </c>
      <c r="D27" s="3" t="str" cm="1">
        <f t="array" ref="D27">IF(COUNTA(D2:D26)=0,"0 (0%)",SUMPRODUCT(LEN(D2:D26))&amp;" ("&amp;TEXT(SUMPRODUCT(LEN(D2:D26)-LEN(SUBSTITUTE(D2:D26,"W","")))/SUMPRODUCT(LEN(D2:D26)),"0%")&amp;")")</f>
        <v>12 (50%)</v>
      </c>
      <c r="E27" s="3" t="str" cm="1">
        <f t="array" ref="E27">IF(COUNTA(E2:E26)=0,"0 (0%)",SUMPRODUCT(LEN(E2:E26))&amp;" ("&amp;TEXT(SUMPRODUCT(LEN(E2:E26)-LEN(SUBSTITUTE(E2:E26,"W","")))/SUMPRODUCT(LEN(E2:E26)),"0%")&amp;")")</f>
        <v>12 (50%)</v>
      </c>
      <c r="F27" s="3" t="str" cm="1">
        <f t="array" ref="F27">IF(COUNTA(F2:F26)=0,"0 (0%)",SUMPRODUCT(LEN(F2:F26))&amp;" ("&amp;TEXT(SUMPRODUCT(LEN(F2:F26)-LEN(SUBSTITUTE(F2:F26,"W","")))/SUMPRODUCT(LEN(F2:F26)),"0%")&amp;")")</f>
        <v>12 (92%)</v>
      </c>
      <c r="G27" s="3" t="str" cm="1">
        <f t="array" ref="G27">IF(COUNTA(G2:G26)=0,"0 (0%)",SUMPRODUCT(LEN(G2:G26))&amp;" ("&amp;TEXT(SUMPRODUCT(LEN(G2:G26)-LEN(SUBSTITUTE(G2:G26,"W","")))/SUMPRODUCT(LEN(G2:G26)),"0%")&amp;")")</f>
        <v>12 (33%)</v>
      </c>
      <c r="H27" s="3" t="str" cm="1">
        <f t="array" ref="H27">IF(COUNTA(H2:H26)=0,"0 (0%)",SUMPRODUCT(LEN(H2:H26))&amp;" ("&amp;TEXT(SUMPRODUCT(LEN(H2:H26)-LEN(SUBSTITUTE(H2:H26,"W","")))/SUMPRODUCT(LEN(H2:H26)),"0%")&amp;")")</f>
        <v>12 (58%)</v>
      </c>
      <c r="I27" s="1" t="str" cm="1">
        <f t="array" ref="I27">IF(COUNTA(B2:H26)=0,"0 (0%)",SUMPRODUCT(LEN(B2:H26))&amp;" ("&amp;TEXT(SUMPRODUCT(LEN(B2:H26)-LEN(SUBSTITUTE(B2:H26,"W","")))/SUMPRODUCT(LEN(B2:H26)),"0%")&amp;")")</f>
        <v>84 (52%)</v>
      </c>
      <c r="J27" s="1"/>
    </row>
  </sheetData>
  <sortState xmlns:xlrd2="http://schemas.microsoft.com/office/spreadsheetml/2017/richdata2" ref="A2:J26">
    <sortCondition sortBy="cellColor" ref="I2:I26" dxfId="49"/>
    <sortCondition sortBy="cellColor" ref="I2:I26" dxfId="48"/>
    <sortCondition sortBy="cellColor" ref="I2:I26" dxfId="47"/>
    <sortCondition sortBy="cellColor" ref="I2:I26" dxfId="46"/>
    <sortCondition descending="1" ref="I2:I26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CBFB-DF8F-48B4-A0C5-9227FED4C8EC}">
  <dimension ref="A1:J24"/>
  <sheetViews>
    <sheetView zoomScale="89" workbookViewId="0">
      <selection activeCell="A6" sqref="A6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36" bestFit="1" customWidth="1"/>
  </cols>
  <sheetData>
    <row r="1" spans="1:10" x14ac:dyDescent="0.6">
      <c r="B1" s="13">
        <v>46104</v>
      </c>
      <c r="C1" s="13">
        <v>46105</v>
      </c>
      <c r="D1" s="13">
        <v>46106</v>
      </c>
      <c r="E1" s="13">
        <v>46107</v>
      </c>
      <c r="F1" s="13">
        <v>46108</v>
      </c>
      <c r="G1" s="13">
        <v>46109</v>
      </c>
      <c r="H1" s="13">
        <v>46110</v>
      </c>
      <c r="I1" s="1" t="s">
        <v>50</v>
      </c>
      <c r="J1" s="1" t="s">
        <v>20</v>
      </c>
    </row>
    <row r="2" spans="1:10" x14ac:dyDescent="0.6">
      <c r="A2" s="2" t="s">
        <v>38</v>
      </c>
      <c r="B2" s="3" t="s">
        <v>48</v>
      </c>
      <c r="C2" s="3" t="s">
        <v>48</v>
      </c>
      <c r="D2" s="3" t="s">
        <v>47</v>
      </c>
      <c r="E2" s="3" t="s">
        <v>47</v>
      </c>
      <c r="F2" s="3" t="s">
        <v>74</v>
      </c>
      <c r="G2" s="3" t="s">
        <v>74</v>
      </c>
      <c r="H2" s="3" t="s">
        <v>77</v>
      </c>
      <c r="I2" s="3" t="str" cm="1">
        <f t="array" ref="I2">IF(COUNTA(B2:H2)=0,"0 (0%)",SUMPRODUCT(LEN(B2:H2))&amp;" ("&amp;TEXT(SUMPRODUCT(LEN(B2:H2)-LEN(SUBSTITUTE(B2:H2,"W","")))/SUMPRODUCT(LEN(B2:H2)),"0%")&amp;")")</f>
        <v>7 (57%)</v>
      </c>
      <c r="J2" s="3"/>
    </row>
    <row r="3" spans="1:10" x14ac:dyDescent="0.6">
      <c r="A3" s="2" t="s">
        <v>12</v>
      </c>
      <c r="B3" s="3" t="s">
        <v>48</v>
      </c>
      <c r="C3" s="3" t="s">
        <v>48</v>
      </c>
      <c r="D3" s="3" t="s">
        <v>48</v>
      </c>
      <c r="E3" s="3" t="s">
        <v>47</v>
      </c>
      <c r="F3" s="3" t="s">
        <v>74</v>
      </c>
      <c r="G3" s="3" t="s">
        <v>73</v>
      </c>
      <c r="H3" s="3" t="s">
        <v>78</v>
      </c>
      <c r="I3" s="3" t="str" cm="1">
        <f t="array" ref="I3">IF(COUNTA(B3:H3)=0,"0 (0%)",SUMPRODUCT(LEN(B3:H3))&amp;" ("&amp;TEXT(SUMPRODUCT(LEN(B3:H3)-LEN(SUBSTITUTE(B3:H3,"W","")))/SUMPRODUCT(LEN(B3:H3)),"0%")&amp;")")</f>
        <v>7 (43%)</v>
      </c>
      <c r="J3" s="3"/>
    </row>
    <row r="4" spans="1:10" x14ac:dyDescent="0.6">
      <c r="A4" s="2" t="s">
        <v>5</v>
      </c>
      <c r="B4" s="3" t="s">
        <v>49</v>
      </c>
      <c r="C4" s="3" t="s">
        <v>49</v>
      </c>
      <c r="D4" s="3" t="s">
        <v>67</v>
      </c>
      <c r="E4" s="3" t="s">
        <v>48</v>
      </c>
      <c r="F4" s="3"/>
      <c r="G4" s="3"/>
      <c r="H4" s="3"/>
      <c r="I4" s="3" t="str" cm="1">
        <f t="array" ref="I4">IF(COUNTA(B4:H4)=0,"0 (0%)",SUMPRODUCT(LEN(B4:H4))&amp;" ("&amp;TEXT(SUMPRODUCT(LEN(B4:H4)-LEN(SUBSTITUTE(B4:H4,"W","")))/SUMPRODUCT(LEN(B4:H4)),"0%")&amp;")")</f>
        <v>7 (29%)</v>
      </c>
      <c r="J4" s="3"/>
    </row>
    <row r="5" spans="1:10" x14ac:dyDescent="0.6">
      <c r="A5" s="2" t="s">
        <v>19</v>
      </c>
      <c r="B5" s="3" t="s">
        <v>48</v>
      </c>
      <c r="C5" s="3" t="s">
        <v>48</v>
      </c>
      <c r="D5" s="3" t="s">
        <v>47</v>
      </c>
      <c r="E5" s="3" t="s">
        <v>47</v>
      </c>
      <c r="F5" s="3" t="s">
        <v>75</v>
      </c>
      <c r="G5" s="3"/>
      <c r="H5" s="3"/>
      <c r="I5" s="3" t="str" cm="1">
        <f t="array" ref="I5">IF(COUNTA(B5:H5)=0,"0 (0%)",SUMPRODUCT(LEN(B5:H5))&amp;" ("&amp;TEXT(SUMPRODUCT(LEN(B5:H5)-LEN(SUBSTITUTE(B5:H5,"W","")))/SUMPRODUCT(LEN(B5:H5)),"0%")&amp;")")</f>
        <v>6 (50%)</v>
      </c>
      <c r="J5" s="13" t="s">
        <v>42</v>
      </c>
    </row>
    <row r="6" spans="1:10" x14ac:dyDescent="0.6">
      <c r="A6" s="2" t="s">
        <v>22</v>
      </c>
      <c r="B6" s="3" t="s">
        <v>47</v>
      </c>
      <c r="C6" s="3"/>
      <c r="D6" s="3" t="s">
        <v>47</v>
      </c>
      <c r="E6" s="3" t="s">
        <v>48</v>
      </c>
      <c r="F6" s="3" t="s">
        <v>73</v>
      </c>
      <c r="G6" s="3" t="s">
        <v>73</v>
      </c>
      <c r="H6" s="3" t="s">
        <v>78</v>
      </c>
      <c r="I6" s="3" t="str" cm="1">
        <f t="array" ref="I6">IF(COUNTA(B6:H6)=0,"0 (0%)",SUMPRODUCT(LEN(B6:H6))&amp;" ("&amp;TEXT(SUMPRODUCT(LEN(B6:H6)-LEN(SUBSTITUTE(B6:H6,"W","")))/SUMPRODUCT(LEN(B6:H6)),"0%")&amp;")")</f>
        <v>6 (50%)</v>
      </c>
      <c r="J6" s="3" t="s">
        <v>44</v>
      </c>
    </row>
    <row r="7" spans="1:10" x14ac:dyDescent="0.6">
      <c r="A7" s="2" t="s">
        <v>63</v>
      </c>
      <c r="B7" s="3"/>
      <c r="C7" s="3"/>
      <c r="D7" s="3" t="s">
        <v>48</v>
      </c>
      <c r="E7" s="3"/>
      <c r="F7" s="3"/>
      <c r="G7" s="3" t="s">
        <v>76</v>
      </c>
      <c r="H7" s="3" t="s">
        <v>79</v>
      </c>
      <c r="I7" s="3" t="str" cm="1">
        <f t="array" ref="I7">IF(COUNTA(B7:H7)=0,"0 (0%)",SUMPRODUCT(LEN(B7:H7))&amp;" ("&amp;TEXT(SUMPRODUCT(LEN(B7:H7)-LEN(SUBSTITUTE(B7:H7,"W","")))/SUMPRODUCT(LEN(B7:H7)),"0%")&amp;")")</f>
        <v>5 (80%)</v>
      </c>
      <c r="J7" s="3"/>
    </row>
    <row r="8" spans="1:10" x14ac:dyDescent="0.6">
      <c r="A8" s="2" t="s">
        <v>7</v>
      </c>
      <c r="B8" s="3" t="s">
        <v>47</v>
      </c>
      <c r="C8" s="3"/>
      <c r="D8" s="3" t="s">
        <v>47</v>
      </c>
      <c r="E8" s="3" t="s">
        <v>47</v>
      </c>
      <c r="F8" s="3" t="s">
        <v>73</v>
      </c>
      <c r="G8" s="3"/>
      <c r="H8" s="3" t="s">
        <v>77</v>
      </c>
      <c r="I8" s="3" t="str" cm="1">
        <f t="array" ref="I8">IF(COUNTA(B8:H8)=0,"0 (0%)",SUMPRODUCT(LEN(B8:H8))&amp;" ("&amp;TEXT(SUMPRODUCT(LEN(B8:H8)-LEN(SUBSTITUTE(B8:H8,"W","")))/SUMPRODUCT(LEN(B8:H8)),"0%")&amp;")")</f>
        <v>5 (60%)</v>
      </c>
      <c r="J8" s="13" t="s">
        <v>69</v>
      </c>
    </row>
    <row r="9" spans="1:10" x14ac:dyDescent="0.6">
      <c r="A9" s="2" t="s">
        <v>18</v>
      </c>
      <c r="B9" s="3"/>
      <c r="C9" s="3"/>
      <c r="D9" s="3"/>
      <c r="E9" s="3"/>
      <c r="F9" s="3" t="s">
        <v>74</v>
      </c>
      <c r="G9" s="3" t="s">
        <v>75</v>
      </c>
      <c r="H9" s="3" t="s">
        <v>83</v>
      </c>
      <c r="I9" s="3" t="str" cm="1">
        <f t="array" ref="I9">IF(COUNTA(B9:H9)=0,"0 (0%)",SUMPRODUCT(LEN(B9:H9))&amp;" ("&amp;TEXT(SUMPRODUCT(LEN(B9:H9)-LEN(SUBSTITUTE(B9:H9,"W","")))/SUMPRODUCT(LEN(B9:H9)),"0%")&amp;")")</f>
        <v>5 (60%)</v>
      </c>
      <c r="J9" s="3"/>
    </row>
    <row r="10" spans="1:10" x14ac:dyDescent="0.6">
      <c r="A10" s="2" t="s">
        <v>55</v>
      </c>
      <c r="B10" s="3"/>
      <c r="C10" s="3"/>
      <c r="D10" s="3" t="s">
        <v>48</v>
      </c>
      <c r="E10" s="3" t="s">
        <v>47</v>
      </c>
      <c r="F10" s="3" t="s">
        <v>73</v>
      </c>
      <c r="G10" s="3" t="s">
        <v>74</v>
      </c>
      <c r="H10" s="3" t="s">
        <v>77</v>
      </c>
      <c r="I10" s="3" t="str" cm="1">
        <f t="array" ref="I10">IF(COUNTA(B10:H10)=0,"0 (0%)",SUMPRODUCT(LEN(B10:H10))&amp;" ("&amp;TEXT(SUMPRODUCT(LEN(B10:H10)-LEN(SUBSTITUTE(B10:H10,"W","")))/SUMPRODUCT(LEN(B10:H10)),"0%")&amp;")")</f>
        <v>5 (40%)</v>
      </c>
      <c r="J10" s="3"/>
    </row>
    <row r="11" spans="1:10" x14ac:dyDescent="0.6">
      <c r="A11" s="2" t="s">
        <v>221</v>
      </c>
      <c r="B11" s="3"/>
      <c r="C11" s="3" t="s">
        <v>48</v>
      </c>
      <c r="D11" s="3"/>
      <c r="E11" s="3" t="s">
        <v>48</v>
      </c>
      <c r="F11" s="3"/>
      <c r="G11" s="3" t="s">
        <v>73</v>
      </c>
      <c r="H11" s="3" t="s">
        <v>77</v>
      </c>
      <c r="I11" s="3" t="str" cm="1">
        <f t="array" ref="I11">IF(COUNTA(B11:H11)=0,"0 (0%)",SUMPRODUCT(LEN(B11:H11))&amp;" ("&amp;TEXT(SUMPRODUCT(LEN(B11:H11)-LEN(SUBSTITUTE(B11:H11,"W","")))/SUMPRODUCT(LEN(B11:H11)),"0%")&amp;")")</f>
        <v>4 (0%)</v>
      </c>
      <c r="J11" s="3" t="s">
        <v>65</v>
      </c>
    </row>
    <row r="12" spans="1:10" x14ac:dyDescent="0.6">
      <c r="A12" s="6" t="s">
        <v>40</v>
      </c>
      <c r="B12" s="7" t="s">
        <v>48</v>
      </c>
      <c r="C12" s="7" t="s">
        <v>47</v>
      </c>
      <c r="D12" s="7" t="s">
        <v>48</v>
      </c>
      <c r="E12" s="7" t="s">
        <v>48</v>
      </c>
      <c r="F12" s="7"/>
      <c r="G12" s="7"/>
      <c r="H12" s="7"/>
      <c r="I12" s="7" t="str" cm="1">
        <f t="array" ref="I12">IF(COUNTA(B12:H12)=0,"0 (0%)",SUMPRODUCT(LEN(B12:H12))&amp;" ("&amp;TEXT(SUMPRODUCT(LEN(B12:H12)-LEN(SUBSTITUTE(B12:H12,"W","")))/SUMPRODUCT(LEN(B12:H12)),"0%")&amp;")")</f>
        <v>4 (25%)</v>
      </c>
      <c r="J12" s="7" t="s">
        <v>81</v>
      </c>
    </row>
    <row r="13" spans="1:10" x14ac:dyDescent="0.6">
      <c r="A13" s="6" t="s">
        <v>32</v>
      </c>
      <c r="B13" s="7"/>
      <c r="C13" s="7" t="s">
        <v>48</v>
      </c>
      <c r="D13" s="7" t="s">
        <v>47</v>
      </c>
      <c r="E13" s="7" t="s">
        <v>47</v>
      </c>
      <c r="F13" s="7"/>
      <c r="G13" s="7"/>
      <c r="H13" s="7"/>
      <c r="I13" s="7" t="str" cm="1">
        <f t="array" ref="I13">IF(COUNTA(B13:H13)=0,"0 (0%)",SUMPRODUCT(LEN(B13:H13))&amp;" ("&amp;TEXT(SUMPRODUCT(LEN(B13:H13)-LEN(SUBSTITUTE(B13:H13,"W","")))/SUMPRODUCT(LEN(B13:H13)),"0%")&amp;")")</f>
        <v>3 (67%)</v>
      </c>
      <c r="J13" s="7" t="s">
        <v>82</v>
      </c>
    </row>
    <row r="14" spans="1:10" x14ac:dyDescent="0.6">
      <c r="A14" s="6" t="s">
        <v>15</v>
      </c>
      <c r="B14" s="7"/>
      <c r="C14" s="7" t="s">
        <v>48</v>
      </c>
      <c r="D14" s="7"/>
      <c r="E14" s="7"/>
      <c r="F14" s="7" t="s">
        <v>73</v>
      </c>
      <c r="G14" s="7" t="s">
        <v>74</v>
      </c>
      <c r="H14" s="7"/>
      <c r="I14" s="7" t="str" cm="1">
        <f t="array" ref="I14">IF(COUNTA(B14:H14)=0,"0 (0%)",SUMPRODUCT(LEN(B14:H14))&amp;" ("&amp;TEXT(SUMPRODUCT(LEN(B14:H14)-LEN(SUBSTITUTE(B14:H14,"W","")))/SUMPRODUCT(LEN(B14:H14)),"0%")&amp;")")</f>
        <v>3 (33%)</v>
      </c>
      <c r="J14" s="7"/>
    </row>
    <row r="15" spans="1:10" x14ac:dyDescent="0.6">
      <c r="A15" s="8" t="s">
        <v>33</v>
      </c>
      <c r="B15" s="9" t="s">
        <v>47</v>
      </c>
      <c r="C15" s="9"/>
      <c r="D15" s="9"/>
      <c r="E15" s="9" t="s">
        <v>47</v>
      </c>
      <c r="F15" s="9"/>
      <c r="G15" s="9" t="s">
        <v>74</v>
      </c>
      <c r="H15" s="9" t="s">
        <v>77</v>
      </c>
      <c r="I15" s="9" t="str" cm="1">
        <f t="array" ref="I15">IF(COUNTA(B15:H15)=0,"0 (0%)",SUMPRODUCT(LEN(B15:H15))&amp;" ("&amp;TEXT(SUMPRODUCT(LEN(B15:H15)-LEN(SUBSTITUTE(B15:H15,"W","")))/SUMPRODUCT(LEN(B15:H15)),"0%")&amp;")")</f>
        <v>4 (75%)</v>
      </c>
      <c r="J15" s="9" t="s">
        <v>41</v>
      </c>
    </row>
    <row r="16" spans="1:10" x14ac:dyDescent="0.6">
      <c r="A16" s="8" t="s">
        <v>9</v>
      </c>
      <c r="B16" s="9" t="s">
        <v>47</v>
      </c>
      <c r="C16" s="9" t="s">
        <v>47</v>
      </c>
      <c r="D16" s="9"/>
      <c r="E16" s="9"/>
      <c r="F16" s="9"/>
      <c r="G16" s="9"/>
      <c r="H16" s="9"/>
      <c r="I16" s="9" t="str" cm="1">
        <f t="array" ref="I16">IF(COUNTA(B16:H16)=0,"0 (0%)",SUMPRODUCT(LEN(B16:H16))&amp;" ("&amp;TEXT(SUMPRODUCT(LEN(B16:H16)-LEN(SUBSTITUTE(B16:H16,"W","")))/SUMPRODUCT(LEN(B16:H16)),"0%")&amp;")")</f>
        <v>2 (100%)</v>
      </c>
      <c r="J16" s="9" t="s">
        <v>80</v>
      </c>
    </row>
    <row r="17" spans="1:10" x14ac:dyDescent="0.6">
      <c r="A17" s="8" t="s">
        <v>1</v>
      </c>
      <c r="B17" s="9"/>
      <c r="C17" s="9"/>
      <c r="D17" s="9"/>
      <c r="E17" s="9"/>
      <c r="F17" s="9"/>
      <c r="G17" s="9"/>
      <c r="H17" s="9"/>
      <c r="I17" s="9" t="str" cm="1">
        <f t="array" ref="I17">IF(COUNTA(B17:H17)=0,"0 (0%)",SUMPRODUCT(LEN(B17:H17))&amp;" ("&amp;TEXT(SUMPRODUCT(LEN(B17:H17)-LEN(SUBSTITUTE(B17:H17,"W","")))/SUMPRODUCT(LEN(B17:H17)),"0%")&amp;")")</f>
        <v>0 (0%)</v>
      </c>
      <c r="J17" s="9" t="s">
        <v>200</v>
      </c>
    </row>
    <row r="18" spans="1:10" x14ac:dyDescent="0.6">
      <c r="A18" s="4" t="s">
        <v>2</v>
      </c>
      <c r="B18" s="5"/>
      <c r="C18" s="5" t="s">
        <v>48</v>
      </c>
      <c r="D18" s="5"/>
      <c r="E18" s="5"/>
      <c r="F18" s="5" t="s">
        <v>74</v>
      </c>
      <c r="G18" s="5"/>
      <c r="H18" s="5" t="s">
        <v>78</v>
      </c>
      <c r="I18" s="5" t="str" cm="1">
        <f t="array" ref="I18">IF(COUNTA(B18:H18)=0,"0 (0%)",SUMPRODUCT(LEN(B18:H18))&amp;" ("&amp;TEXT(SUMPRODUCT(LEN(B18:H18)-LEN(SUBSTITUTE(B18:H18,"W","")))/SUMPRODUCT(LEN(B18:H18)),"0%")&amp;")")</f>
        <v>3 (67%)</v>
      </c>
      <c r="J18" s="5"/>
    </row>
    <row r="19" spans="1:10" x14ac:dyDescent="0.6">
      <c r="A19" s="4" t="s">
        <v>225</v>
      </c>
      <c r="B19" s="5" t="s">
        <v>48</v>
      </c>
      <c r="C19" s="5"/>
      <c r="D19" s="5" t="s">
        <v>48</v>
      </c>
      <c r="E19" s="5" t="s">
        <v>48</v>
      </c>
      <c r="F19" s="5"/>
      <c r="G19" s="5"/>
      <c r="H19" s="5"/>
      <c r="I19" s="5" t="str" cm="1">
        <f t="array" ref="I19">IF(COUNTA(B19:H19)=0,"0 (0%)",SUMPRODUCT(LEN(B19:H19))&amp;" ("&amp;TEXT(SUMPRODUCT(LEN(B19:H19)-LEN(SUBSTITUTE(B19:H19,"W","")))/SUMPRODUCT(LEN(B19:H19)),"0%")&amp;")")</f>
        <v>3 (0%)</v>
      </c>
      <c r="J19" s="5"/>
    </row>
    <row r="20" spans="1:10" x14ac:dyDescent="0.6">
      <c r="A20" s="11" t="s">
        <v>3</v>
      </c>
      <c r="B20" s="12"/>
      <c r="C20" s="12"/>
      <c r="D20" s="12"/>
      <c r="E20" s="12"/>
      <c r="F20" s="12" t="s">
        <v>74</v>
      </c>
      <c r="G20" s="12" t="s">
        <v>73</v>
      </c>
      <c r="H20" s="12"/>
      <c r="I20" s="5" t="str" cm="1">
        <f t="array" ref="I20">IF(COUNTA(B20:H20)=0,"0 (0%)",SUMPRODUCT(LEN(B20:H20))&amp;" ("&amp;TEXT(SUMPRODUCT(LEN(B20:H20)-LEN(SUBSTITUTE(B20:H20,"W","")))/SUMPRODUCT(LEN(B20:H20)),"0%")&amp;")")</f>
        <v>2 (50%)</v>
      </c>
      <c r="J20" s="5"/>
    </row>
    <row r="21" spans="1:10" x14ac:dyDescent="0.6">
      <c r="A21" s="4" t="s">
        <v>62</v>
      </c>
      <c r="B21" s="5" t="s">
        <v>47</v>
      </c>
      <c r="C21" s="5" t="s">
        <v>47</v>
      </c>
      <c r="D21" s="5"/>
      <c r="E21" s="5"/>
      <c r="F21" s="5"/>
      <c r="G21" s="5"/>
      <c r="H21" s="5"/>
      <c r="I21" s="5" t="str" cm="1">
        <f t="array" ref="I21">IF(COUNTA(B21:H21)=0,"0 (0%)",SUMPRODUCT(LEN(B21:H21))&amp;" ("&amp;TEXT(SUMPRODUCT(LEN(B21:H21)-LEN(SUBSTITUTE(B21:H21,"W","")))/SUMPRODUCT(LEN(B21:H21)),"0%")&amp;")")</f>
        <v>2 (100%)</v>
      </c>
      <c r="J21" s="5"/>
    </row>
    <row r="22" spans="1:10" x14ac:dyDescent="0.6">
      <c r="A22" s="4" t="s">
        <v>0</v>
      </c>
      <c r="B22" s="5"/>
      <c r="C22" s="5"/>
      <c r="D22" s="5"/>
      <c r="E22" s="5"/>
      <c r="F22" s="5" t="s">
        <v>74</v>
      </c>
      <c r="G22" s="5"/>
      <c r="H22" s="5"/>
      <c r="I22" s="5" t="str" cm="1">
        <f t="array" ref="I22">IF(COUNTA(B22:H22)=0,"0 (0%)",SUMPRODUCT(LEN(B22:H22))&amp;" ("&amp;TEXT(SUMPRODUCT(LEN(B22:H22)-LEN(SUBSTITUTE(B22:H22,"W","")))/SUMPRODUCT(LEN(B22:H22)),"0%")&amp;")")</f>
        <v>1 (100%)</v>
      </c>
      <c r="J22" s="5"/>
    </row>
    <row r="23" spans="1:10" x14ac:dyDescent="0.6">
      <c r="A23" s="4" t="s">
        <v>14</v>
      </c>
      <c r="B23" s="5"/>
      <c r="C23" s="5"/>
      <c r="D23" s="5"/>
      <c r="E23" s="5"/>
      <c r="F23" s="5"/>
      <c r="G23" s="5"/>
      <c r="H23" s="5"/>
      <c r="I23" s="5" t="str" cm="1">
        <f t="array" ref="I23">IF(COUNTA(B23:H23)=0,"0 (0%)",SUMPRODUCT(LEN(B23:H23))&amp;" ("&amp;TEXT(SUMPRODUCT(LEN(B23:H23)-LEN(SUBSTITUTE(B23:H23,"W","")))/SUMPRODUCT(LEN(B23:H23)),"0%")&amp;")")</f>
        <v>0 (0%)</v>
      </c>
      <c r="J23" s="5"/>
    </row>
    <row r="24" spans="1:10" x14ac:dyDescent="0.6">
      <c r="A24" s="14" t="s">
        <v>50</v>
      </c>
      <c r="B24" s="3" t="str" cm="1">
        <f t="array" ref="B24">IF(COUNTA(B2:B23)=0,"0 (0%)",SUMPRODUCT(LEN(B2:B23))&amp;" ("&amp;TEXT(SUMPRODUCT(LEN(B2:B23)-LEN(SUBSTITUTE(B2:B23,"W","")))/SUMPRODUCT(LEN(B2:B23)),"0%")&amp;")")</f>
        <v>12 (42%)</v>
      </c>
      <c r="C24" s="3" t="str" cm="1">
        <f t="array" ref="C24">IF(COUNTA(C2:C23)=0,"0 (0%)",SUMPRODUCT(LEN(C2:C23))&amp;" ("&amp;TEXT(SUMPRODUCT(LEN(C2:C23)-LEN(SUBSTITUTE(C2:C23,"W","")))/SUMPRODUCT(LEN(C2:C23)),"0%")&amp;")")</f>
        <v>12 (25%)</v>
      </c>
      <c r="D24" s="3" t="str" cm="1">
        <f t="array" ref="D24">IF(COUNTA(D2:D23)=0,"0 (0%)",SUMPRODUCT(LEN(D2:D23))&amp;" ("&amp;TEXT(SUMPRODUCT(LEN(D2:D23)-LEN(SUBSTITUTE(D2:D23,"W","")))/SUMPRODUCT(LEN(D2:D23)),"0%")&amp;")")</f>
        <v>12 (58%)</v>
      </c>
      <c r="E24" s="3" t="str" cm="1">
        <f t="array" ref="E24">IF(COUNTA(E2:E23)=0,"0 (0%)",SUMPRODUCT(LEN(E2:E23))&amp;" ("&amp;TEXT(SUMPRODUCT(LEN(E2:E23)-LEN(SUBSTITUTE(E2:E23,"W","")))/SUMPRODUCT(LEN(E2:E23)),"0%")&amp;")")</f>
        <v>12 (58%)</v>
      </c>
      <c r="F24" s="3" t="str" cm="1">
        <f t="array" ref="F24">IF(COUNTA(F2:F23)=0,"0 (0%)",SUMPRODUCT(LEN(F2:F23))&amp;" ("&amp;TEXT(SUMPRODUCT(LEN(F2:F23)-LEN(SUBSTITUTE(F2:F23,"W","")))/SUMPRODUCT(LEN(F2:F23)),"0%")&amp;")")</f>
        <v>12 (58%)</v>
      </c>
      <c r="G24" s="3" t="str" cm="1">
        <f t="array" ref="G24">IF(COUNTA(G2:G23)=0,"0 (0%)",SUMPRODUCT(LEN(G2:G23))&amp;" ("&amp;TEXT(SUMPRODUCT(LEN(G2:G23)-LEN(SUBSTITUTE(G2:G23,"W","")))/SUMPRODUCT(LEN(G2:G23)),"0%")&amp;")")</f>
        <v>12 (58%)</v>
      </c>
      <c r="H24" s="3" t="str" cm="1">
        <f t="array" ref="H24">IF(COUNTA(H2:H23)=0,"0 (0%)",SUMPRODUCT(LEN(H2:H23))&amp;" ("&amp;TEXT(SUMPRODUCT(LEN(H2:H23)-LEN(SUBSTITUTE(H2:H23,"W","")))/SUMPRODUCT(LEN(H2:H23)),"0%")&amp;")")</f>
        <v>12 (50%)</v>
      </c>
      <c r="I24" s="1" t="str" cm="1">
        <f t="array" ref="I24">IF(COUNTA(B2:H23)=0,"0 (0%)",SUMPRODUCT(LEN(B2:H23))&amp;" ("&amp;TEXT(SUMPRODUCT(LEN(B2:H23)-LEN(SUBSTITUTE(B2:H23,"W","")))/SUMPRODUCT(LEN(B2:H23)),"0%")&amp;")")</f>
        <v>84 (50%)</v>
      </c>
      <c r="J24" s="1"/>
    </row>
  </sheetData>
  <sortState xmlns:xlrd2="http://schemas.microsoft.com/office/spreadsheetml/2017/richdata2" ref="A2:J23">
    <sortCondition sortBy="cellColor" ref="I2:I23" dxfId="45"/>
    <sortCondition sortBy="cellColor" ref="I2:I23" dxfId="44"/>
    <sortCondition sortBy="cellColor" ref="I2:I23" dxfId="43"/>
    <sortCondition sortBy="cellColor" ref="I2:I23" dxfId="42"/>
    <sortCondition descending="1" ref="I2:I23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99D8-63C5-4F8F-93C4-B9F33B6D94A6}">
  <dimension ref="A1:J27"/>
  <sheetViews>
    <sheetView zoomScale="85" workbookViewId="0">
      <selection activeCell="J26" sqref="A2:J26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36" bestFit="1" customWidth="1"/>
  </cols>
  <sheetData>
    <row r="1" spans="1:10" x14ac:dyDescent="0.6">
      <c r="B1" s="13">
        <v>46111</v>
      </c>
      <c r="C1" s="13">
        <v>46112</v>
      </c>
      <c r="D1" s="13">
        <v>46113</v>
      </c>
      <c r="E1" s="10">
        <v>46114</v>
      </c>
      <c r="F1" s="13">
        <v>46115</v>
      </c>
      <c r="G1" s="13">
        <v>46116</v>
      </c>
      <c r="H1" s="13">
        <v>46117</v>
      </c>
      <c r="I1" s="1" t="s">
        <v>50</v>
      </c>
      <c r="J1" s="1" t="s">
        <v>20</v>
      </c>
    </row>
    <row r="2" spans="1:10" x14ac:dyDescent="0.6">
      <c r="A2" s="2" t="s">
        <v>5</v>
      </c>
      <c r="B2" s="3" t="s">
        <v>49</v>
      </c>
      <c r="C2" s="3" t="s">
        <v>75</v>
      </c>
      <c r="D2" s="3" t="s">
        <v>48</v>
      </c>
      <c r="E2" s="3" t="s">
        <v>75</v>
      </c>
      <c r="F2" s="3" t="s">
        <v>47</v>
      </c>
      <c r="G2" s="3"/>
      <c r="H2" s="3"/>
      <c r="I2" s="3" t="str" cm="1">
        <f t="array" ref="I2">IF(COUNTA(B2:H2)=0,"0 (0%)",SUMPRODUCT(LEN(B2:H2))&amp;" ("&amp;TEXT(SUMPRODUCT(LEN(B2:H2)-LEN(SUBSTITUTE(B2:H2,"W","")))/SUMPRODUCT(LEN(B2:H2)),"0%")&amp;")")</f>
        <v>8 (38%)</v>
      </c>
      <c r="J2" s="3"/>
    </row>
    <row r="3" spans="1:10" x14ac:dyDescent="0.6">
      <c r="A3" s="2" t="s">
        <v>63</v>
      </c>
      <c r="B3" s="3" t="s">
        <v>47</v>
      </c>
      <c r="C3" s="3"/>
      <c r="D3" s="3" t="s">
        <v>67</v>
      </c>
      <c r="E3" s="3"/>
      <c r="F3" s="3"/>
      <c r="G3" s="3" t="s">
        <v>94</v>
      </c>
      <c r="H3" s="3" t="s">
        <v>94</v>
      </c>
      <c r="I3" s="3" t="str" cm="1">
        <f t="array" ref="I3">IF(COUNTA(B3:H3)=0,"0 (0%)",SUMPRODUCT(LEN(B3:H3))&amp;" ("&amp;TEXT(SUMPRODUCT(LEN(B3:H3)-LEN(SUBSTITUTE(B3:H3,"W","")))/SUMPRODUCT(LEN(B3:H3)),"0%")&amp;")")</f>
        <v>7 (71%)</v>
      </c>
      <c r="J3" s="3"/>
    </row>
    <row r="4" spans="1:10" x14ac:dyDescent="0.6">
      <c r="A4" s="2" t="s">
        <v>38</v>
      </c>
      <c r="B4" s="3" t="s">
        <v>47</v>
      </c>
      <c r="C4" s="3" t="s">
        <v>48</v>
      </c>
      <c r="D4" s="3" t="s">
        <v>47</v>
      </c>
      <c r="E4" s="3" t="s">
        <v>47</v>
      </c>
      <c r="F4" s="3" t="s">
        <v>48</v>
      </c>
      <c r="G4" s="3" t="s">
        <v>92</v>
      </c>
      <c r="H4" s="3" t="s">
        <v>93</v>
      </c>
      <c r="I4" s="3" t="str" cm="1">
        <f t="array" ref="I4">IF(COUNTA(B4:H4)=0,"0 (0%)",SUMPRODUCT(LEN(B4:H4))&amp;" ("&amp;TEXT(SUMPRODUCT(LEN(B4:H4)-LEN(SUBSTITUTE(B4:H4,"W","")))/SUMPRODUCT(LEN(B4:H4)),"0%")&amp;")")</f>
        <v>7 (57%)</v>
      </c>
      <c r="J4" s="3"/>
    </row>
    <row r="5" spans="1:10" x14ac:dyDescent="0.6">
      <c r="A5" s="2" t="s">
        <v>55</v>
      </c>
      <c r="B5" s="3" t="s">
        <v>47</v>
      </c>
      <c r="C5" s="3" t="s">
        <v>48</v>
      </c>
      <c r="D5" s="3" t="s">
        <v>48</v>
      </c>
      <c r="E5" s="3" t="s">
        <v>47</v>
      </c>
      <c r="F5" s="3" t="s">
        <v>47</v>
      </c>
      <c r="G5" s="3" t="s">
        <v>93</v>
      </c>
      <c r="H5" s="3" t="s">
        <v>92</v>
      </c>
      <c r="I5" s="3" t="str" cm="1">
        <f t="array" ref="I5">IF(COUNTA(B5:H5)=0,"0 (0%)",SUMPRODUCT(LEN(B5:H5))&amp;" ("&amp;TEXT(SUMPRODUCT(LEN(B5:H5)-LEN(SUBSTITUTE(B5:H5,"W","")))/SUMPRODUCT(LEN(B5:H5)),"0%")&amp;")")</f>
        <v>7 (57%)</v>
      </c>
      <c r="J5" s="3"/>
    </row>
    <row r="6" spans="1:10" x14ac:dyDescent="0.6">
      <c r="A6" s="2" t="s">
        <v>12</v>
      </c>
      <c r="B6" s="3" t="s">
        <v>47</v>
      </c>
      <c r="C6" s="3" t="s">
        <v>47</v>
      </c>
      <c r="D6" s="3" t="s">
        <v>48</v>
      </c>
      <c r="E6" s="3" t="s">
        <v>48</v>
      </c>
      <c r="F6" s="3" t="s">
        <v>47</v>
      </c>
      <c r="G6" s="3" t="s">
        <v>92</v>
      </c>
      <c r="H6" s="3" t="s">
        <v>92</v>
      </c>
      <c r="I6" s="3" t="str" cm="1">
        <f t="array" ref="I6">IF(COUNTA(B6:H6)=0,"0 (0%)",SUMPRODUCT(LEN(B6:H6))&amp;" ("&amp;TEXT(SUMPRODUCT(LEN(B6:H6)-LEN(SUBSTITUTE(B6:H6,"W","")))/SUMPRODUCT(LEN(B6:H6)),"0%")&amp;")")</f>
        <v>7 (43%)</v>
      </c>
      <c r="J6" s="3"/>
    </row>
    <row r="7" spans="1:10" x14ac:dyDescent="0.6">
      <c r="A7" s="2" t="s">
        <v>221</v>
      </c>
      <c r="B7" s="3"/>
      <c r="C7" s="3" t="s">
        <v>48</v>
      </c>
      <c r="D7" s="3"/>
      <c r="E7" s="3" t="s">
        <v>48</v>
      </c>
      <c r="F7" s="3"/>
      <c r="G7" s="3" t="s">
        <v>92</v>
      </c>
      <c r="H7" s="3" t="s">
        <v>93</v>
      </c>
      <c r="I7" s="3" t="str" cm="1">
        <f t="array" ref="I7">IF(COUNTA(B7:H7)=0,"0 (0%)",SUMPRODUCT(LEN(B7:H7))&amp;" ("&amp;TEXT(SUMPRODUCT(LEN(B7:H7)-LEN(SUBSTITUTE(B7:H7,"W","")))/SUMPRODUCT(LEN(B7:H7)),"0%")&amp;")")</f>
        <v>4 (25%)</v>
      </c>
      <c r="J7" s="3" t="s">
        <v>65</v>
      </c>
    </row>
    <row r="8" spans="1:10" x14ac:dyDescent="0.6">
      <c r="A8" s="2" t="s">
        <v>7</v>
      </c>
      <c r="B8" s="3"/>
      <c r="C8" s="3" t="s">
        <v>48</v>
      </c>
      <c r="D8" s="3"/>
      <c r="E8" s="3" t="s">
        <v>48</v>
      </c>
      <c r="F8" s="3"/>
      <c r="G8" s="3" t="s">
        <v>92</v>
      </c>
      <c r="H8" s="3"/>
      <c r="I8" s="3" t="str" cm="1">
        <f t="array" ref="I8">IF(COUNTA(B8:H8)=0,"0 (0%)",SUMPRODUCT(LEN(B8:H8))&amp;" ("&amp;TEXT(SUMPRODUCT(LEN(B8:H8)-LEN(SUBSTITUTE(B8:H8,"W","")))/SUMPRODUCT(LEN(B8:H8)),"0%")&amp;")")</f>
        <v>3 (0%)</v>
      </c>
      <c r="J8" s="13" t="s">
        <v>69</v>
      </c>
    </row>
    <row r="9" spans="1:10" x14ac:dyDescent="0.6">
      <c r="A9" s="15" t="s">
        <v>40</v>
      </c>
      <c r="B9" s="16" t="s">
        <v>47</v>
      </c>
      <c r="C9" s="16" t="s">
        <v>48</v>
      </c>
      <c r="D9" s="16" t="s">
        <v>48</v>
      </c>
      <c r="E9" s="16"/>
      <c r="F9" s="16" t="s">
        <v>48</v>
      </c>
      <c r="G9" s="16"/>
      <c r="H9" s="16"/>
      <c r="I9" s="16" t="str" cm="1">
        <f t="array" ref="I9">IF(COUNTA(B9:H9)=0,"0 (0%)",SUMPRODUCT(LEN(B9:H9))&amp;" ("&amp;TEXT(SUMPRODUCT(LEN(B9:H9)-LEN(SUBSTITUTE(B9:H9,"W","")))/SUMPRODUCT(LEN(B9:H9)),"0%")&amp;")")</f>
        <v>4 (25%)</v>
      </c>
      <c r="J9" s="16"/>
    </row>
    <row r="10" spans="1:10" x14ac:dyDescent="0.6">
      <c r="A10" s="6" t="s">
        <v>18</v>
      </c>
      <c r="B10" s="7"/>
      <c r="C10" s="7"/>
      <c r="D10" s="7"/>
      <c r="E10" s="7" t="s">
        <v>47</v>
      </c>
      <c r="F10" s="7"/>
      <c r="G10" s="7" t="s">
        <v>95</v>
      </c>
      <c r="H10" s="7" t="s">
        <v>92</v>
      </c>
      <c r="I10" s="7" t="str" cm="1">
        <f t="array" ref="I10">IF(COUNTA(B10:H10)=0,"0 (0%)",SUMPRODUCT(LEN(B10:H10))&amp;" ("&amp;TEXT(SUMPRODUCT(LEN(B10:H10)-LEN(SUBSTITUTE(B10:H10,"W","")))/SUMPRODUCT(LEN(B10:H10)),"0%")&amp;")")</f>
        <v>4 (25%)</v>
      </c>
      <c r="J10" s="7"/>
    </row>
    <row r="11" spans="1:10" x14ac:dyDescent="0.6">
      <c r="A11" s="6" t="s">
        <v>19</v>
      </c>
      <c r="B11" s="7"/>
      <c r="C11" s="7" t="s">
        <v>48</v>
      </c>
      <c r="D11" s="7" t="s">
        <v>48</v>
      </c>
      <c r="E11" s="7"/>
      <c r="F11" s="7"/>
      <c r="G11" s="7"/>
      <c r="H11" s="7" t="s">
        <v>92</v>
      </c>
      <c r="I11" s="7" t="str" cm="1">
        <f t="array" ref="I11">IF(COUNTA(B11:H11)=0,"0 (0%)",SUMPRODUCT(LEN(B11:H11))&amp;" ("&amp;TEXT(SUMPRODUCT(LEN(B11:H11)-LEN(SUBSTITUTE(B11:H11,"W","")))/SUMPRODUCT(LEN(B11:H11)),"0%")&amp;")")</f>
        <v>3 (0%)</v>
      </c>
      <c r="J11" s="10" t="s">
        <v>96</v>
      </c>
    </row>
    <row r="12" spans="1:10" x14ac:dyDescent="0.6">
      <c r="A12" s="6" t="s">
        <v>32</v>
      </c>
      <c r="B12" s="7"/>
      <c r="C12" s="7" t="s">
        <v>47</v>
      </c>
      <c r="D12" s="7"/>
      <c r="E12" s="7"/>
      <c r="F12" s="7"/>
      <c r="G12" s="7"/>
      <c r="H12" s="7"/>
      <c r="I12" s="7" t="str" cm="1">
        <f t="array" ref="I12">IF(COUNTA(B12:H12)=0,"0 (0%)",SUMPRODUCT(LEN(B12:H12))&amp;" ("&amp;TEXT(SUMPRODUCT(LEN(B12:H12)-LEN(SUBSTITUTE(B12:H12,"W","")))/SUMPRODUCT(LEN(B12:H12)),"0%")&amp;")")</f>
        <v>1 (100%)</v>
      </c>
      <c r="J12" s="7"/>
    </row>
    <row r="13" spans="1:10" x14ac:dyDescent="0.6">
      <c r="A13" s="6" t="s">
        <v>87</v>
      </c>
      <c r="B13" s="7"/>
      <c r="C13" s="7"/>
      <c r="D13" s="7"/>
      <c r="E13" s="7"/>
      <c r="F13" s="7" t="s">
        <v>47</v>
      </c>
      <c r="G13" s="7"/>
      <c r="H13" s="7"/>
      <c r="I13" s="7" t="str" cm="1">
        <f t="array" ref="I13">IF(COUNTA(B13:H13)=0,"0 (0%)",SUMPRODUCT(LEN(B13:H13))&amp;" ("&amp;TEXT(SUMPRODUCT(LEN(B13:H13)-LEN(SUBSTITUTE(B13:H13,"W","")))/SUMPRODUCT(LEN(B13:H13)),"0%")&amp;")")</f>
        <v>1 (100%)</v>
      </c>
      <c r="J13" s="7" t="s">
        <v>88</v>
      </c>
    </row>
    <row r="14" spans="1:10" x14ac:dyDescent="0.6">
      <c r="A14" s="6" t="s">
        <v>86</v>
      </c>
      <c r="B14" s="7"/>
      <c r="C14" s="7"/>
      <c r="D14" s="7"/>
      <c r="E14" s="7" t="s">
        <v>48</v>
      </c>
      <c r="F14" s="7"/>
      <c r="G14" s="7"/>
      <c r="H14" s="7"/>
      <c r="I14" s="7" t="str" cm="1">
        <f t="array" ref="I14">IF(COUNTA(B14:H14)=0,"0 (0%)",SUMPRODUCT(LEN(B14:H14))&amp;" ("&amp;TEXT(SUMPRODUCT(LEN(B14:H14)-LEN(SUBSTITUTE(B14:H14,"W","")))/SUMPRODUCT(LEN(B14:H14)),"0%")&amp;")")</f>
        <v>1 (0%)</v>
      </c>
      <c r="J14" s="7" t="s">
        <v>21</v>
      </c>
    </row>
    <row r="15" spans="1:10" x14ac:dyDescent="0.6">
      <c r="A15" s="8" t="s">
        <v>223</v>
      </c>
      <c r="B15" s="9" t="s">
        <v>48</v>
      </c>
      <c r="C15" s="9"/>
      <c r="D15" s="9" t="s">
        <v>48</v>
      </c>
      <c r="E15" s="9"/>
      <c r="F15" s="9" t="s">
        <v>48</v>
      </c>
      <c r="G15" s="9" t="s">
        <v>93</v>
      </c>
      <c r="H15" s="9" t="s">
        <v>93</v>
      </c>
      <c r="I15" s="9" t="str" cm="1">
        <f t="array" ref="I15">IF(COUNTA(B15:H15)=0,"0 (0%)",SUMPRODUCT(LEN(B15:H15))&amp;" ("&amp;TEXT(SUMPRODUCT(LEN(B15:H15)-LEN(SUBSTITUTE(B15:H15,"W","")))/SUMPRODUCT(LEN(B15:H15)),"0%")&amp;")")</f>
        <v>5 (40%)</v>
      </c>
      <c r="J15" s="9" t="s">
        <v>90</v>
      </c>
    </row>
    <row r="16" spans="1:10" x14ac:dyDescent="0.6">
      <c r="A16" s="8" t="s">
        <v>33</v>
      </c>
      <c r="B16" s="9" t="s">
        <v>48</v>
      </c>
      <c r="C16" s="9"/>
      <c r="D16" s="9"/>
      <c r="E16" s="9" t="s">
        <v>48</v>
      </c>
      <c r="F16" s="9" t="s">
        <v>47</v>
      </c>
      <c r="G16" s="9" t="s">
        <v>93</v>
      </c>
      <c r="H16" s="9"/>
      <c r="I16" s="9" t="str" cm="1">
        <f t="array" ref="I16">IF(COUNTA(B16:H16)=0,"0 (0%)",SUMPRODUCT(LEN(B16:H16))&amp;" ("&amp;TEXT(SUMPRODUCT(LEN(B16:H16)-LEN(SUBSTITUTE(B16:H16,"W","")))/SUMPRODUCT(LEN(B16:H16)),"0%")&amp;")")</f>
        <v>4 (50%)</v>
      </c>
      <c r="J16" s="9" t="s">
        <v>41</v>
      </c>
    </row>
    <row r="17" spans="1:10" x14ac:dyDescent="0.6">
      <c r="A17" s="8" t="s">
        <v>9</v>
      </c>
      <c r="B17" s="9"/>
      <c r="C17" s="9"/>
      <c r="D17" s="9"/>
      <c r="E17" s="9" t="s">
        <v>47</v>
      </c>
      <c r="F17" s="9" t="s">
        <v>48</v>
      </c>
      <c r="G17" s="9"/>
      <c r="H17" s="9" t="s">
        <v>92</v>
      </c>
      <c r="I17" s="9" t="str" cm="1">
        <f t="array" ref="I17">IF(COUNTA(B17:H17)=0,"0 (0%)",SUMPRODUCT(LEN(B17:H17))&amp;" ("&amp;TEXT(SUMPRODUCT(LEN(B17:H17)-LEN(SUBSTITUTE(B17:H17,"W","")))/SUMPRODUCT(LEN(B17:H17)),"0%")&amp;")")</f>
        <v>3 (33%)</v>
      </c>
      <c r="J17" s="9" t="s">
        <v>80</v>
      </c>
    </row>
    <row r="18" spans="1:10" x14ac:dyDescent="0.6">
      <c r="A18" s="8" t="s">
        <v>1</v>
      </c>
      <c r="B18" s="9"/>
      <c r="C18" s="9"/>
      <c r="D18" s="9" t="s">
        <v>48</v>
      </c>
      <c r="E18" s="9"/>
      <c r="F18" s="9"/>
      <c r="G18" s="9"/>
      <c r="H18" s="9"/>
      <c r="I18" s="9" t="str" cm="1">
        <f t="array" ref="I18">IF(COUNTA(B18:H18)=0,"0 (0%)",SUMPRODUCT(LEN(B18:H18))&amp;" ("&amp;TEXT(SUMPRODUCT(LEN(B18:H18)-LEN(SUBSTITUTE(B18:H18,"W","")))/SUMPRODUCT(LEN(B18:H18)),"0%")&amp;")")</f>
        <v>1 (0%)</v>
      </c>
      <c r="J18" s="9" t="s">
        <v>91</v>
      </c>
    </row>
    <row r="19" spans="1:10" x14ac:dyDescent="0.6">
      <c r="A19" s="4" t="s">
        <v>2</v>
      </c>
      <c r="B19" s="5"/>
      <c r="C19" s="5" t="s">
        <v>47</v>
      </c>
      <c r="D19" s="5" t="s">
        <v>48</v>
      </c>
      <c r="E19" s="5"/>
      <c r="F19" s="5" t="s">
        <v>75</v>
      </c>
      <c r="G19" s="5" t="s">
        <v>93</v>
      </c>
      <c r="H19" s="5" t="s">
        <v>92</v>
      </c>
      <c r="I19" s="5" t="str" cm="1">
        <f t="array" ref="I19">IF(COUNTA(B19:H19)=0,"0 (0%)",SUMPRODUCT(LEN(B19:H19))&amp;" ("&amp;TEXT(SUMPRODUCT(LEN(B19:H19)-LEN(SUBSTITUTE(B19:H19,"W","")))/SUMPRODUCT(LEN(B19:H19)),"0%")&amp;")")</f>
        <v>6 (50%)</v>
      </c>
      <c r="J19" s="5"/>
    </row>
    <row r="20" spans="1:10" x14ac:dyDescent="0.6">
      <c r="A20" s="4" t="s">
        <v>62</v>
      </c>
      <c r="B20" s="5"/>
      <c r="C20" s="5"/>
      <c r="D20" s="5" t="s">
        <v>47</v>
      </c>
      <c r="E20" s="5"/>
      <c r="F20" s="5" t="s">
        <v>47</v>
      </c>
      <c r="G20" s="5"/>
      <c r="H20" s="5"/>
      <c r="I20" s="5" t="str" cm="1">
        <f t="array" ref="I20">IF(COUNTA(B20:H20)=0,"0 (0%)",SUMPRODUCT(LEN(B20:H20))&amp;" ("&amp;TEXT(SUMPRODUCT(LEN(B20:H20)-LEN(SUBSTITUTE(B20:H20,"W","")))/SUMPRODUCT(LEN(B20:H20)),"0%")&amp;")")</f>
        <v>2 (100%)</v>
      </c>
      <c r="J20" s="5"/>
    </row>
    <row r="21" spans="1:10" x14ac:dyDescent="0.6">
      <c r="A21" s="4" t="s">
        <v>85</v>
      </c>
      <c r="B21" s="5" t="s">
        <v>48</v>
      </c>
      <c r="C21" s="5"/>
      <c r="D21" s="5"/>
      <c r="E21" s="5"/>
      <c r="F21" s="5"/>
      <c r="G21" s="5"/>
      <c r="H21" s="5" t="s">
        <v>92</v>
      </c>
      <c r="I21" s="5" t="str" cm="1">
        <f t="array" ref="I21">IF(COUNTA(B21:H21)=0,"0 (0%)",SUMPRODUCT(LEN(B21:H21))&amp;" ("&amp;TEXT(SUMPRODUCT(LEN(B21:H21)-LEN(SUBSTITUTE(B21:H21,"W","")))/SUMPRODUCT(LEN(B21:H21)),"0%")&amp;")")</f>
        <v>2 (0%)</v>
      </c>
      <c r="J21" s="5" t="s">
        <v>89</v>
      </c>
    </row>
    <row r="22" spans="1:10" x14ac:dyDescent="0.6">
      <c r="A22" s="4" t="s">
        <v>0</v>
      </c>
      <c r="B22" s="5" t="s">
        <v>47</v>
      </c>
      <c r="C22" s="5"/>
      <c r="D22" s="5"/>
      <c r="E22" s="5"/>
      <c r="F22" s="5"/>
      <c r="G22" s="5"/>
      <c r="H22" s="5"/>
      <c r="I22" s="5" t="str" cm="1">
        <f t="array" ref="I22">IF(COUNTA(B22:H22)=0,"0 (0%)",SUMPRODUCT(LEN(B22:H22))&amp;" ("&amp;TEXT(SUMPRODUCT(LEN(B22:H22)-LEN(SUBSTITUTE(B22:H22,"W","")))/SUMPRODUCT(LEN(B22:H22)),"0%")&amp;")")</f>
        <v>1 (100%)</v>
      </c>
      <c r="J22" s="5"/>
    </row>
    <row r="23" spans="1:10" x14ac:dyDescent="0.6">
      <c r="A23" s="4" t="s">
        <v>84</v>
      </c>
      <c r="B23" s="5" t="s">
        <v>48</v>
      </c>
      <c r="C23" s="5"/>
      <c r="D23" s="5"/>
      <c r="E23" s="5"/>
      <c r="F23" s="5"/>
      <c r="G23" s="5"/>
      <c r="H23" s="5"/>
      <c r="I23" s="5" t="str" cm="1">
        <f t="array" ref="I23">IF(COUNTA(B23:H23)=0,"0 (0%)",SUMPRODUCT(LEN(B23:H23))&amp;" ("&amp;TEXT(SUMPRODUCT(LEN(B23:H23)-LEN(SUBSTITUTE(B23:H23,"W","")))/SUMPRODUCT(LEN(B23:H23)),"0%")&amp;")")</f>
        <v>1 (0%)</v>
      </c>
      <c r="J23" s="5" t="s">
        <v>89</v>
      </c>
    </row>
    <row r="24" spans="1:10" x14ac:dyDescent="0.6">
      <c r="A24" s="4" t="s">
        <v>225</v>
      </c>
      <c r="B24" s="5"/>
      <c r="C24" s="5" t="s">
        <v>48</v>
      </c>
      <c r="D24" s="5"/>
      <c r="E24" s="5"/>
      <c r="F24" s="5"/>
      <c r="G24" s="5"/>
      <c r="H24" s="5"/>
      <c r="I24" s="5" t="str" cm="1">
        <f t="array" ref="I24">IF(COUNTA(B24:H24)=0,"0 (0%)",SUMPRODUCT(LEN(B24:H24))&amp;" ("&amp;TEXT(SUMPRODUCT(LEN(B24:H24)-LEN(SUBSTITUTE(B24:H24,"W","")))/SUMPRODUCT(LEN(B24:H24)),"0%")&amp;")")</f>
        <v>1 (0%)</v>
      </c>
      <c r="J24" s="5"/>
    </row>
    <row r="25" spans="1:10" x14ac:dyDescent="0.6">
      <c r="A25" s="11" t="s">
        <v>3</v>
      </c>
      <c r="B25" s="12"/>
      <c r="C25" s="12"/>
      <c r="D25" s="12"/>
      <c r="E25" s="12"/>
      <c r="F25" s="12"/>
      <c r="G25" s="12"/>
      <c r="H25" s="12"/>
      <c r="I25" s="5" t="str" cm="1">
        <f t="array" ref="I25">IF(COUNTA(B25:H25)=0,"0 (0%)",SUMPRODUCT(LEN(B25:H25))&amp;" ("&amp;TEXT(SUMPRODUCT(LEN(B25:H25)-LEN(SUBSTITUTE(B25:H25,"W","")))/SUMPRODUCT(LEN(B25:H25)),"0%")&amp;")")</f>
        <v>0 (0%)</v>
      </c>
      <c r="J25" s="5"/>
    </row>
    <row r="26" spans="1:10" x14ac:dyDescent="0.6">
      <c r="A26" s="4" t="s">
        <v>14</v>
      </c>
      <c r="B26" s="5"/>
      <c r="C26" s="5"/>
      <c r="D26" s="5"/>
      <c r="E26" s="5"/>
      <c r="F26" s="5"/>
      <c r="G26" s="5"/>
      <c r="H26" s="5"/>
      <c r="I26" s="5" t="str" cm="1">
        <f t="array" ref="I26">IF(COUNTA(B26:H26)=0,"0 (0%)",SUMPRODUCT(LEN(B26:H26))&amp;" ("&amp;TEXT(SUMPRODUCT(LEN(B26:H26)-LEN(SUBSTITUTE(B26:H26,"W","")))/SUMPRODUCT(LEN(B26:H26)),"0%")&amp;")")</f>
        <v>0 (0%)</v>
      </c>
      <c r="J26" s="5"/>
    </row>
    <row r="27" spans="1:10" x14ac:dyDescent="0.6">
      <c r="A27" s="14" t="s">
        <v>50</v>
      </c>
      <c r="B27" s="3" t="str" cm="1">
        <f t="array" ref="B27">IF(COUNTA(B2:B26)=0,"0 (0%)",SUMPRODUCT(LEN(B2:B26))&amp;" ("&amp;TEXT(SUMPRODUCT(LEN(B2:B26)-LEN(SUBSTITUTE(B2:B26,"W","")))/SUMPRODUCT(LEN(B2:B26)),"0%")&amp;")")</f>
        <v>12 (50%)</v>
      </c>
      <c r="C27" s="3" t="str" cm="1">
        <f t="array" ref="C27">IF(COUNTA(C2:C26)=0,"0 (0%)",SUMPRODUCT(LEN(C2:C26))&amp;" ("&amp;TEXT(SUMPRODUCT(LEN(C2:C26)-LEN(SUBSTITUTE(C2:C26,"W","")))/SUMPRODUCT(LEN(C2:C26)),"0%")&amp;")")</f>
        <v>12 (33%)</v>
      </c>
      <c r="D27" s="3" t="str" cm="1">
        <f t="array" ref="D27">IF(COUNTA(D2:D26)=0,"0 (0%)",SUMPRODUCT(LEN(D2:D26))&amp;" ("&amp;TEXT(SUMPRODUCT(LEN(D2:D26)-LEN(SUBSTITUTE(D2:D26,"W","")))/SUMPRODUCT(LEN(D2:D26)),"0%")&amp;")")</f>
        <v>12 (33%)</v>
      </c>
      <c r="E27" s="7" t="str" cm="1">
        <f t="array" ref="E27">IF(COUNTA(E2:E26)=0,"0 (0%)",SUMPRODUCT(LEN(E2:E26))&amp;" ("&amp;TEXT(SUMPRODUCT(LEN(E2:E26)-LEN(SUBSTITUTE(E2:E26,"W","")))/SUMPRODUCT(LEN(E2:E26)),"0%")&amp;")")</f>
        <v>11 (45%)</v>
      </c>
      <c r="F27" s="3" t="str" cm="1">
        <f t="array" ref="F27">IF(COUNTA(F2:F26)=0,"0 (0%)",SUMPRODUCT(LEN(F2:F26))&amp;" ("&amp;TEXT(SUMPRODUCT(LEN(F2:F26)-LEN(SUBSTITUTE(F2:F26,"W","")))/SUMPRODUCT(LEN(F2:F26)),"0%")&amp;")")</f>
        <v>12 (58%)</v>
      </c>
      <c r="G27" s="3" t="str" cm="1">
        <f t="array" ref="G27">IF(COUNTA(G2:G26)=0,"0 (0%)",SUMPRODUCT(LEN(G2:G26))&amp;" ("&amp;TEXT(SUMPRODUCT(LEN(G2:G26)-LEN(SUBSTITUTE(G2:G26,"W","")))/SUMPRODUCT(LEN(G2:G26)),"0%")&amp;")")</f>
        <v>12 (42%)</v>
      </c>
      <c r="H27" s="3" t="str" cm="1">
        <f t="array" ref="H27">IF(COUNTA(H2:H26)=0,"0 (0%)",SUMPRODUCT(LEN(H2:H26))&amp;" ("&amp;TEXT(SUMPRODUCT(LEN(H2:H26)-LEN(SUBSTITUTE(H2:H26,"W","")))/SUMPRODUCT(LEN(H2:H26)),"0%")&amp;")")</f>
        <v>12 (33%)</v>
      </c>
      <c r="I27" s="1" t="str" cm="1">
        <f t="array" ref="I27">IF(COUNTA(B2:H26)=0,"0 (0%)",SUMPRODUCT(LEN(B2:H26))&amp;" ("&amp;TEXT(SUMPRODUCT(LEN(B2:H26)-LEN(SUBSTITUTE(B2:H26,"W","")))/SUMPRODUCT(LEN(B2:H26)),"0%")&amp;")")</f>
        <v>83 (42%)</v>
      </c>
      <c r="J27" s="1"/>
    </row>
  </sheetData>
  <sortState xmlns:xlrd2="http://schemas.microsoft.com/office/spreadsheetml/2017/richdata2" ref="A2:J26">
    <sortCondition sortBy="cellColor" ref="I2:I26" dxfId="41"/>
    <sortCondition sortBy="cellColor" ref="I2:I26" dxfId="40"/>
    <sortCondition sortBy="cellColor" ref="I2:I26" dxfId="39"/>
    <sortCondition sortBy="cellColor" ref="I2:I26" dxfId="38"/>
    <sortCondition descending="1" ref="I2:I26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213C-8964-418F-B126-B235FB4494F6}">
  <dimension ref="A1:J25"/>
  <sheetViews>
    <sheetView zoomScale="75" workbookViewId="0">
      <selection activeCell="A17" sqref="A17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36" bestFit="1" customWidth="1"/>
  </cols>
  <sheetData>
    <row r="1" spans="1:10" x14ac:dyDescent="0.6">
      <c r="B1" s="13" t="s">
        <v>97</v>
      </c>
      <c r="C1" s="10" t="s">
        <v>98</v>
      </c>
      <c r="D1" s="10" t="s">
        <v>99</v>
      </c>
      <c r="E1" s="13" t="s">
        <v>100</v>
      </c>
      <c r="F1" s="13" t="s">
        <v>101</v>
      </c>
      <c r="G1" s="13" t="s">
        <v>102</v>
      </c>
      <c r="H1" s="13" t="s">
        <v>103</v>
      </c>
      <c r="I1" s="1" t="s">
        <v>50</v>
      </c>
      <c r="J1" s="1" t="s">
        <v>20</v>
      </c>
    </row>
    <row r="2" spans="1:10" x14ac:dyDescent="0.6">
      <c r="A2" s="2" t="s">
        <v>12</v>
      </c>
      <c r="B2" s="3" t="s">
        <v>48</v>
      </c>
      <c r="C2" s="3" t="s">
        <v>48</v>
      </c>
      <c r="D2" s="3" t="s">
        <v>47</v>
      </c>
      <c r="E2" s="3" t="s">
        <v>47</v>
      </c>
      <c r="F2" s="3" t="s">
        <v>47</v>
      </c>
      <c r="G2" s="3" t="s">
        <v>105</v>
      </c>
      <c r="H2" s="3" t="s">
        <v>112</v>
      </c>
      <c r="I2" s="17" t="str" cm="1">
        <f t="array" ref="I2">IF(COUNTA(B2:H2)=0,"0 (0%)",SUMPRODUCT(LEN(B2:H2))&amp;" ("&amp;TEXT(SUMPRODUCT(LEN(B2:H2)-LEN(SUBSTITUTE(B2:H2,"W","")))/SUMPRODUCT(LEN(B2:H2)),"0%")&amp;")")</f>
        <v>7 (57%)</v>
      </c>
      <c r="J2" s="3"/>
    </row>
    <row r="3" spans="1:10" x14ac:dyDescent="0.6">
      <c r="A3" s="2" t="s">
        <v>55</v>
      </c>
      <c r="B3" s="3" t="s">
        <v>48</v>
      </c>
      <c r="C3" s="3" t="s">
        <v>48</v>
      </c>
      <c r="D3" s="3" t="s">
        <v>47</v>
      </c>
      <c r="E3" s="3" t="s">
        <v>47</v>
      </c>
      <c r="F3" s="3" t="s">
        <v>105</v>
      </c>
      <c r="G3" s="3" t="s">
        <v>106</v>
      </c>
      <c r="H3" s="3"/>
      <c r="I3" s="17" t="str" cm="1">
        <f t="array" ref="I3">IF(COUNTA(B3:H3)=0,"0 (0%)",SUMPRODUCT(LEN(B3:H3))&amp;" ("&amp;TEXT(SUMPRODUCT(LEN(B3:H3)-LEN(SUBSTITUTE(B3:H3,"W","")))/SUMPRODUCT(LEN(B3:H3)),"0%")&amp;")")</f>
        <v>6 (50%)</v>
      </c>
      <c r="J3" s="3"/>
    </row>
    <row r="4" spans="1:10" x14ac:dyDescent="0.6">
      <c r="A4" s="2" t="s">
        <v>18</v>
      </c>
      <c r="B4" s="3"/>
      <c r="C4" s="3" t="s">
        <v>48</v>
      </c>
      <c r="D4" s="3"/>
      <c r="E4" s="3" t="s">
        <v>48</v>
      </c>
      <c r="F4" s="3"/>
      <c r="G4" s="3" t="s">
        <v>108</v>
      </c>
      <c r="H4" s="3" t="s">
        <v>113</v>
      </c>
      <c r="I4" s="17" t="str" cm="1">
        <f t="array" ref="I4">IF(COUNTA(B4:H4)=0,"0 (0%)",SUMPRODUCT(LEN(B4:H4))&amp;" ("&amp;TEXT(SUMPRODUCT(LEN(B4:H4)-LEN(SUBSTITUTE(B4:H4,"W","")))/SUMPRODUCT(LEN(B4:H4)),"0%")&amp;")")</f>
        <v>6 (50%)</v>
      </c>
      <c r="J4" s="3" t="s">
        <v>104</v>
      </c>
    </row>
    <row r="5" spans="1:10" x14ac:dyDescent="0.6">
      <c r="A5" s="2" t="s">
        <v>5</v>
      </c>
      <c r="B5" s="3" t="s">
        <v>48</v>
      </c>
      <c r="C5" s="3" t="s">
        <v>75</v>
      </c>
      <c r="D5" s="3" t="s">
        <v>75</v>
      </c>
      <c r="E5" s="3" t="s">
        <v>48</v>
      </c>
      <c r="F5" s="3"/>
      <c r="G5" s="3"/>
      <c r="H5" s="3"/>
      <c r="I5" s="17" t="str" cm="1">
        <f t="array" ref="I5">IF(COUNTA(B5:H5)=0,"0 (0%)",SUMPRODUCT(LEN(B5:H5))&amp;" ("&amp;TEXT(SUMPRODUCT(LEN(B5:H5)-LEN(SUBSTITUTE(B5:H5,"W","")))/SUMPRODUCT(LEN(B5:H5)),"0%")&amp;")")</f>
        <v>6 (33%)</v>
      </c>
      <c r="J5" s="3"/>
    </row>
    <row r="6" spans="1:10" x14ac:dyDescent="0.6">
      <c r="A6" s="2" t="s">
        <v>38</v>
      </c>
      <c r="B6" s="3" t="s">
        <v>48</v>
      </c>
      <c r="C6" s="3" t="s">
        <v>48</v>
      </c>
      <c r="D6" s="3"/>
      <c r="E6" s="3" t="s">
        <v>48</v>
      </c>
      <c r="F6" s="3" t="s">
        <v>105</v>
      </c>
      <c r="G6" s="3" t="s">
        <v>106</v>
      </c>
      <c r="H6" s="3" t="s">
        <v>112</v>
      </c>
      <c r="I6" s="17" t="str" cm="1">
        <f t="array" ref="I6">IF(COUNTA(B6:H6)=0,"0 (0%)",SUMPRODUCT(LEN(B6:H6))&amp;" ("&amp;TEXT(SUMPRODUCT(LEN(B6:H6)-LEN(SUBSTITUTE(B6:H6,"W","")))/SUMPRODUCT(LEN(B6:H6)),"0%")&amp;")")</f>
        <v>6 (33%)</v>
      </c>
      <c r="J6" s="3"/>
    </row>
    <row r="7" spans="1:10" x14ac:dyDescent="0.6">
      <c r="A7" s="2" t="s">
        <v>63</v>
      </c>
      <c r="B7" s="3" t="s">
        <v>47</v>
      </c>
      <c r="C7" s="3"/>
      <c r="D7" s="3" t="s">
        <v>75</v>
      </c>
      <c r="E7" s="3"/>
      <c r="F7" s="3"/>
      <c r="G7" s="3" t="s">
        <v>105</v>
      </c>
      <c r="H7" s="3" t="s">
        <v>112</v>
      </c>
      <c r="I7" s="17" t="str" cm="1">
        <f t="array" ref="I7">IF(COUNTA(B7:H7)=0,"0 (0%)",SUMPRODUCT(LEN(B7:H7))&amp;" ("&amp;TEXT(SUMPRODUCT(LEN(B7:H7)-LEN(SUBSTITUTE(B7:H7,"W","")))/SUMPRODUCT(LEN(B7:H7)),"0%")&amp;")")</f>
        <v>5 (60%)</v>
      </c>
      <c r="J7" s="3"/>
    </row>
    <row r="8" spans="1:10" x14ac:dyDescent="0.6">
      <c r="A8" s="2" t="s">
        <v>32</v>
      </c>
      <c r="B8" s="3" t="s">
        <v>48</v>
      </c>
      <c r="C8" s="3" t="s">
        <v>47</v>
      </c>
      <c r="D8" s="3"/>
      <c r="E8" s="3" t="s">
        <v>47</v>
      </c>
      <c r="F8" s="3" t="s">
        <v>105</v>
      </c>
      <c r="G8" s="3" t="s">
        <v>105</v>
      </c>
      <c r="H8" s="3"/>
      <c r="I8" s="17" t="str" cm="1">
        <f t="array" ref="I8">IF(COUNTA(B8:H8)=0,"0 (0%)",SUMPRODUCT(LEN(B8:H8))&amp;" ("&amp;TEXT(SUMPRODUCT(LEN(B8:H8)-LEN(SUBSTITUTE(B8:H8,"W","")))/SUMPRODUCT(LEN(B8:H8)),"0%")&amp;")")</f>
        <v>5 (40%)</v>
      </c>
      <c r="J8" s="3"/>
    </row>
    <row r="9" spans="1:10" x14ac:dyDescent="0.6">
      <c r="A9" s="2" t="s">
        <v>9</v>
      </c>
      <c r="B9" s="3" t="s">
        <v>47</v>
      </c>
      <c r="C9" s="3"/>
      <c r="D9" s="3" t="s">
        <v>48</v>
      </c>
      <c r="E9" s="3" t="s">
        <v>48</v>
      </c>
      <c r="F9" s="3" t="s">
        <v>106</v>
      </c>
      <c r="G9" s="3"/>
      <c r="H9" s="3" t="s">
        <v>111</v>
      </c>
      <c r="I9" s="17" t="str" cm="1">
        <f t="array" ref="I9">IF(COUNTA(B9:H9)=0,"0 (0%)",SUMPRODUCT(LEN(B9:H9))&amp;" ("&amp;TEXT(SUMPRODUCT(LEN(B9:H9)-LEN(SUBSTITUTE(B9:H9,"W","")))/SUMPRODUCT(LEN(B9:H9)),"0%")&amp;")")</f>
        <v>5 (40%)</v>
      </c>
      <c r="J9" s="3"/>
    </row>
    <row r="10" spans="1:10" x14ac:dyDescent="0.6">
      <c r="A10" s="2" t="s">
        <v>7</v>
      </c>
      <c r="B10" s="3" t="s">
        <v>47</v>
      </c>
      <c r="C10" s="3"/>
      <c r="D10" s="3" t="s">
        <v>47</v>
      </c>
      <c r="E10" s="3"/>
      <c r="F10" s="3" t="s">
        <v>47</v>
      </c>
      <c r="G10" s="3"/>
      <c r="H10" s="3" t="s">
        <v>111</v>
      </c>
      <c r="I10" s="17" t="str" cm="1">
        <f t="array" ref="I10">IF(COUNTA(B10:H10)=0,"0 (0%)",SUMPRODUCT(LEN(B10:H10))&amp;" ("&amp;TEXT(SUMPRODUCT(LEN(B10:H10)-LEN(SUBSTITUTE(B10:H10,"W","")))/SUMPRODUCT(LEN(B10:H10)),"0%")&amp;")")</f>
        <v>4 (75%)</v>
      </c>
      <c r="J10" s="13" t="s">
        <v>69</v>
      </c>
    </row>
    <row r="11" spans="1:10" x14ac:dyDescent="0.6">
      <c r="A11" s="2" t="s">
        <v>221</v>
      </c>
      <c r="B11" s="3"/>
      <c r="C11" s="3" t="s">
        <v>48</v>
      </c>
      <c r="D11" s="3"/>
      <c r="E11" s="3" t="s">
        <v>48</v>
      </c>
      <c r="F11" s="3"/>
      <c r="G11" s="3" t="s">
        <v>105</v>
      </c>
      <c r="H11" s="3" t="s">
        <v>112</v>
      </c>
      <c r="I11" s="17" t="str" cm="1">
        <f t="array" ref="I11">IF(COUNTA(B11:H11)=0,"0 (0%)",SUMPRODUCT(LEN(B11:H11))&amp;" ("&amp;TEXT(SUMPRODUCT(LEN(B11:H11)-LEN(SUBSTITUTE(B11:H11,"W","")))/SUMPRODUCT(LEN(B11:H11)),"0%")&amp;")")</f>
        <v>4 (25%)</v>
      </c>
      <c r="J11" s="3" t="s">
        <v>65</v>
      </c>
    </row>
    <row r="12" spans="1:10" x14ac:dyDescent="0.6">
      <c r="A12" s="15" t="s">
        <v>40</v>
      </c>
      <c r="B12" s="16" t="s">
        <v>48</v>
      </c>
      <c r="C12" s="16"/>
      <c r="D12" s="16" t="s">
        <v>47</v>
      </c>
      <c r="E12" s="16" t="s">
        <v>47</v>
      </c>
      <c r="F12" s="16"/>
      <c r="G12" s="16"/>
      <c r="H12" s="16"/>
      <c r="I12" s="18" t="str" cm="1">
        <f t="array" ref="I12">IF(COUNTA(B12:H12)=0,"0 (0%)",SUMPRODUCT(LEN(B12:H12))&amp;" ("&amp;TEXT(SUMPRODUCT(LEN(B12:H12)-LEN(SUBSTITUTE(B12:H12,"W","")))/SUMPRODUCT(LEN(B12:H12)),"0%")&amp;")")</f>
        <v>3 (67%)</v>
      </c>
      <c r="J12" s="16"/>
    </row>
    <row r="13" spans="1:10" x14ac:dyDescent="0.6">
      <c r="A13" s="6" t="s">
        <v>19</v>
      </c>
      <c r="B13" s="7" t="s">
        <v>47</v>
      </c>
      <c r="C13" s="7"/>
      <c r="D13" s="7"/>
      <c r="E13" s="7"/>
      <c r="F13" s="7" t="s">
        <v>105</v>
      </c>
      <c r="G13" s="7"/>
      <c r="H13" s="7" t="s">
        <v>111</v>
      </c>
      <c r="I13" s="18" t="str" cm="1">
        <f t="array" ref="I13">IF(COUNTA(B13:H13)=0,"0 (0%)",SUMPRODUCT(LEN(B13:H13))&amp;" ("&amp;TEXT(SUMPRODUCT(LEN(B13:H13)-LEN(SUBSTITUTE(B13:H13,"W","")))/SUMPRODUCT(LEN(B13:H13)),"0%")&amp;")")</f>
        <v>3 (33%)</v>
      </c>
      <c r="J13" s="10"/>
    </row>
    <row r="14" spans="1:10" x14ac:dyDescent="0.6">
      <c r="A14" s="8" t="s">
        <v>223</v>
      </c>
      <c r="B14" s="9"/>
      <c r="C14" s="9" t="s">
        <v>48</v>
      </c>
      <c r="D14" s="9" t="s">
        <v>48</v>
      </c>
      <c r="E14" s="9" t="s">
        <v>48</v>
      </c>
      <c r="F14" s="9"/>
      <c r="G14" s="9"/>
      <c r="H14" s="9" t="s">
        <v>112</v>
      </c>
      <c r="I14" s="19" t="str" cm="1">
        <f t="array" ref="I14">IF(COUNTA(B14:H14)=0,"0 (0%)",SUMPRODUCT(LEN(B14:H14))&amp;" ("&amp;TEXT(SUMPRODUCT(LEN(B14:H14)-LEN(SUBSTITUTE(B14:H14,"W","")))/SUMPRODUCT(LEN(B14:H14)),"0%")&amp;")")</f>
        <v>4 (25%)</v>
      </c>
      <c r="J14" s="9" t="s">
        <v>44</v>
      </c>
    </row>
    <row r="15" spans="1:10" x14ac:dyDescent="0.6">
      <c r="A15" s="8" t="s">
        <v>33</v>
      </c>
      <c r="B15" s="9"/>
      <c r="C15" s="9" t="s">
        <v>48</v>
      </c>
      <c r="D15" s="9"/>
      <c r="E15" s="9"/>
      <c r="F15" s="9" t="s">
        <v>106</v>
      </c>
      <c r="G15" s="9" t="s">
        <v>105</v>
      </c>
      <c r="H15" s="9"/>
      <c r="I15" s="19" t="str" cm="1">
        <f t="array" ref="I15">IF(COUNTA(B15:H15)=0,"0 (0%)",SUMPRODUCT(LEN(B15:H15))&amp;" ("&amp;TEXT(SUMPRODUCT(LEN(B15:H15)-LEN(SUBSTITUTE(B15:H15,"W","")))/SUMPRODUCT(LEN(B15:H15)),"0%")&amp;")")</f>
        <v>3 (33%)</v>
      </c>
      <c r="J15" s="9" t="s">
        <v>41</v>
      </c>
    </row>
    <row r="16" spans="1:10" x14ac:dyDescent="0.6">
      <c r="A16" s="8" t="s">
        <v>109</v>
      </c>
      <c r="B16" s="9"/>
      <c r="C16" s="9"/>
      <c r="D16" s="9"/>
      <c r="E16" s="9"/>
      <c r="F16" s="9"/>
      <c r="G16" s="9" t="s">
        <v>105</v>
      </c>
      <c r="H16" s="9" t="s">
        <v>111</v>
      </c>
      <c r="I16" s="19" t="str" cm="1">
        <f t="array" ref="I16">IF(COUNTA(B16:H16)=0,"0 (0%)",SUMPRODUCT(LEN(B16:H16))&amp;" ("&amp;TEXT(SUMPRODUCT(LEN(B16:H16)-LEN(SUBSTITUTE(B16:H16,"W","")))/SUMPRODUCT(LEN(B16:H16)),"0%")&amp;")")</f>
        <v>2 (0%)</v>
      </c>
      <c r="J16" s="9" t="s">
        <v>107</v>
      </c>
    </row>
    <row r="17" spans="1:10" x14ac:dyDescent="0.6">
      <c r="A17" s="8" t="s">
        <v>227</v>
      </c>
      <c r="B17" s="9"/>
      <c r="C17" s="9"/>
      <c r="D17" s="9"/>
      <c r="E17" s="9"/>
      <c r="F17" s="9"/>
      <c r="G17" s="9" t="s">
        <v>106</v>
      </c>
      <c r="H17" s="9"/>
      <c r="I17" s="19" t="str" cm="1">
        <f t="array" ref="I17">IF(COUNTA(B17:H17)=0,"0 (0%)",SUMPRODUCT(LEN(B17:H17))&amp;" ("&amp;TEXT(SUMPRODUCT(LEN(B17:H17)-LEN(SUBSTITUTE(B17:H17,"W","")))/SUMPRODUCT(LEN(B17:H17)),"0%")&amp;")")</f>
        <v>1 (100%)</v>
      </c>
      <c r="J17" s="9" t="s">
        <v>107</v>
      </c>
    </row>
    <row r="18" spans="1:10" x14ac:dyDescent="0.6">
      <c r="A18" s="4" t="s">
        <v>2</v>
      </c>
      <c r="B18" s="5"/>
      <c r="C18" s="5" t="s">
        <v>47</v>
      </c>
      <c r="D18" s="5" t="s">
        <v>48</v>
      </c>
      <c r="E18" s="5" t="s">
        <v>47</v>
      </c>
      <c r="F18" s="5" t="s">
        <v>105</v>
      </c>
      <c r="G18" s="5" t="s">
        <v>106</v>
      </c>
      <c r="H18" s="5" t="s">
        <v>112</v>
      </c>
      <c r="I18" s="20" t="str" cm="1">
        <f t="array" ref="I18">IF(COUNTA(B18:H18)=0,"0 (0%)",SUMPRODUCT(LEN(B18:H18))&amp;" ("&amp;TEXT(SUMPRODUCT(LEN(B18:H18)-LEN(SUBSTITUTE(B18:H18,"W","")))/SUMPRODUCT(LEN(B18:H18)),"0%")&amp;")")</f>
        <v>6 (67%)</v>
      </c>
      <c r="J18" s="5"/>
    </row>
    <row r="19" spans="1:10" x14ac:dyDescent="0.6">
      <c r="A19" s="4" t="s">
        <v>85</v>
      </c>
      <c r="B19" s="5" t="s">
        <v>47</v>
      </c>
      <c r="C19" s="5"/>
      <c r="D19" s="5"/>
      <c r="E19" s="5" t="s">
        <v>48</v>
      </c>
      <c r="F19" s="5" t="s">
        <v>105</v>
      </c>
      <c r="G19" s="5"/>
      <c r="H19" s="5"/>
      <c r="I19" s="20" t="str" cm="1">
        <f t="array" ref="I19">IF(COUNTA(B19:H19)=0,"0 (0%)",SUMPRODUCT(LEN(B19:H19))&amp;" ("&amp;TEXT(SUMPRODUCT(LEN(B19:H19)-LEN(SUBSTITUTE(B19:H19,"W","")))/SUMPRODUCT(LEN(B19:H19)),"0%")&amp;")")</f>
        <v>3 (33%)</v>
      </c>
      <c r="J19" s="5" t="s">
        <v>89</v>
      </c>
    </row>
    <row r="20" spans="1:10" x14ac:dyDescent="0.6">
      <c r="A20" s="11" t="s">
        <v>3</v>
      </c>
      <c r="B20" s="12"/>
      <c r="C20" s="12"/>
      <c r="D20" s="12"/>
      <c r="E20" s="12"/>
      <c r="F20" s="12" t="s">
        <v>110</v>
      </c>
      <c r="G20" s="12"/>
      <c r="H20" s="12"/>
      <c r="I20" s="20" t="str" cm="1">
        <f t="array" ref="I20">IF(COUNTA(B20:H20)=0,"0 (0%)",SUMPRODUCT(LEN(B20:H20))&amp;" ("&amp;TEXT(SUMPRODUCT(LEN(B20:H20)-LEN(SUBSTITUTE(B20:H20,"W","")))/SUMPRODUCT(LEN(B20:H20)),"0%")&amp;")")</f>
        <v>2 (100%)</v>
      </c>
      <c r="J20" s="5"/>
    </row>
    <row r="21" spans="1:10" x14ac:dyDescent="0.6">
      <c r="A21" s="4" t="s">
        <v>62</v>
      </c>
      <c r="B21" s="5" t="s">
        <v>48</v>
      </c>
      <c r="C21" s="5"/>
      <c r="D21" s="5"/>
      <c r="E21" s="5"/>
      <c r="F21" s="5"/>
      <c r="G21" s="5"/>
      <c r="H21" s="5"/>
      <c r="I21" s="20" t="str" cm="1">
        <f t="array" ref="I21">IF(COUNTA(B21:H21)=0,"0 (0%)",SUMPRODUCT(LEN(B21:H21))&amp;" ("&amp;TEXT(SUMPRODUCT(LEN(B21:H21)-LEN(SUBSTITUTE(B21:H21,"W","")))/SUMPRODUCT(LEN(B21:H21)),"0%")&amp;")")</f>
        <v>1 (0%)</v>
      </c>
      <c r="J21" s="5" t="s">
        <v>21</v>
      </c>
    </row>
    <row r="22" spans="1:10" x14ac:dyDescent="0.6">
      <c r="A22" s="4" t="s">
        <v>0</v>
      </c>
      <c r="B22" s="5"/>
      <c r="C22" s="5"/>
      <c r="D22" s="5"/>
      <c r="E22" s="5"/>
      <c r="F22" s="5"/>
      <c r="G22" s="5"/>
      <c r="H22" s="5"/>
      <c r="I22" s="20" t="str" cm="1">
        <f t="array" ref="I22">IF(COUNTA(B22:H22)=0,"0 (0%)",SUMPRODUCT(LEN(B22:H22))&amp;" ("&amp;TEXT(SUMPRODUCT(LEN(B22:H22)-LEN(SUBSTITUTE(B22:H22,"W","")))/SUMPRODUCT(LEN(B22:H22)),"0%")&amp;")")</f>
        <v>0 (0%)</v>
      </c>
      <c r="J22" s="5"/>
    </row>
    <row r="23" spans="1:10" x14ac:dyDescent="0.6">
      <c r="A23" s="4" t="s">
        <v>84</v>
      </c>
      <c r="B23" s="5"/>
      <c r="C23" s="5"/>
      <c r="D23" s="5"/>
      <c r="E23" s="5"/>
      <c r="F23" s="5"/>
      <c r="G23" s="5"/>
      <c r="H23" s="5"/>
      <c r="I23" s="20" t="str" cm="1">
        <f t="array" ref="I23">IF(COUNTA(B23:H23)=0,"0 (0%)",SUMPRODUCT(LEN(B23:H23))&amp;" ("&amp;TEXT(SUMPRODUCT(LEN(B23:H23)-LEN(SUBSTITUTE(B23:H23,"W","")))/SUMPRODUCT(LEN(B23:H23)),"0%")&amp;")")</f>
        <v>0 (0%)</v>
      </c>
      <c r="J23" s="5" t="s">
        <v>89</v>
      </c>
    </row>
    <row r="24" spans="1:10" x14ac:dyDescent="0.6">
      <c r="A24" s="4" t="s">
        <v>14</v>
      </c>
      <c r="B24" s="5"/>
      <c r="C24" s="5"/>
      <c r="D24" s="5"/>
      <c r="E24" s="5"/>
      <c r="F24" s="5"/>
      <c r="G24" s="5"/>
      <c r="H24" s="5"/>
      <c r="I24" s="20" t="str" cm="1">
        <f t="array" ref="I24">IF(COUNTA(B24:H24)=0,"0 (0%)",SUMPRODUCT(LEN(B24:H24))&amp;" ("&amp;TEXT(SUMPRODUCT(LEN(B24:H24)-LEN(SUBSTITUTE(B24:H24,"W","")))/SUMPRODUCT(LEN(B24:H24)),"0%")&amp;")")</f>
        <v>0 (0%)</v>
      </c>
      <c r="J24" s="5"/>
    </row>
    <row r="25" spans="1:10" x14ac:dyDescent="0.6">
      <c r="A25" s="14" t="s">
        <v>50</v>
      </c>
      <c r="B25" s="3" t="str" cm="1">
        <f t="array" ref="B25">IF(COUNTA(B2:B24)=0,"0 (0%)",SUMPRODUCT(LEN(B2:B24))&amp;" ("&amp;TEXT(SUMPRODUCT(LEN(B2:B24)-LEN(SUBSTITUTE(B2:B24,"W","")))/SUMPRODUCT(LEN(B2:B24)),"0%")&amp;")")</f>
        <v>12 (42%)</v>
      </c>
      <c r="C25" s="7" t="str" cm="1">
        <f t="array" ref="C25">IF(COUNTA(C2:C24)=0,"0 (0%)",SUMPRODUCT(LEN(C2:C24))&amp;" ("&amp;TEXT(SUMPRODUCT(LEN(C2:C24)-LEN(SUBSTITUTE(C2:C24,"W","")))/SUMPRODUCT(LEN(C2:C24)),"0%")&amp;")")</f>
        <v>11 (27%)</v>
      </c>
      <c r="D25" s="7" t="str" cm="1">
        <f t="array" ref="D25">IF(COUNTA(D2:D24)=0,"0 (0%)",SUMPRODUCT(LEN(D2:D24))&amp;" ("&amp;TEXT(SUMPRODUCT(LEN(D2:D24)-LEN(SUBSTITUTE(D2:D24,"W","")))/SUMPRODUCT(LEN(D2:D24)),"0%")&amp;")")</f>
        <v>11 (55%)</v>
      </c>
      <c r="E25" s="3" t="str" cm="1">
        <f t="array" ref="E25">IF(COUNTA(E2:E24)=0,"0 (0%)",SUMPRODUCT(LEN(E2:E24))&amp;" ("&amp;TEXT(SUMPRODUCT(LEN(E2:E24)-LEN(SUBSTITUTE(E2:E24,"W","")))/SUMPRODUCT(LEN(E2:E24)),"0%")&amp;")")</f>
        <v>12 (42%)</v>
      </c>
      <c r="F25" s="3" t="str" cm="1">
        <f t="array" ref="F25">IF(COUNTA(F2:F24)=0,"0 (0%)",SUMPRODUCT(LEN(F2:F24))&amp;" ("&amp;TEXT(SUMPRODUCT(LEN(F2:F24)-LEN(SUBSTITUTE(F2:F24,"W","")))/SUMPRODUCT(LEN(F2:F24)),"0%")&amp;")")</f>
        <v>12 (50%)</v>
      </c>
      <c r="G25" s="3" t="str" cm="1">
        <f t="array" ref="G25">IF(COUNTA(G2:G24)=0,"0 (0%)",SUMPRODUCT(LEN(G2:G24))&amp;" ("&amp;TEXT(SUMPRODUCT(LEN(G2:G24)-LEN(SUBSTITUTE(G2:G24,"W","")))/SUMPRODUCT(LEN(G2:G24)),"0%")&amp;")")</f>
        <v>12 (42%)</v>
      </c>
      <c r="H25" s="3" t="str" cm="1">
        <f t="array" ref="H25">IF(COUNTA(H2:H24)=0,"0 (0%)",SUMPRODUCT(LEN(H2:H24))&amp;" ("&amp;TEXT(SUMPRODUCT(LEN(H2:H24)-LEN(SUBSTITUTE(H2:H24,"W","")))/SUMPRODUCT(LEN(H2:H24)),"0%")&amp;")")</f>
        <v>12 (67%)</v>
      </c>
      <c r="I25" s="1" t="str" cm="1">
        <f t="array" ref="I25">IF(COUNTA(B2:H24)=0,"0 (0%)",SUMPRODUCT(LEN(B2:H24))&amp;" ("&amp;TEXT(SUMPRODUCT(LEN(B2:H24)-LEN(SUBSTITUTE(B2:H24,"W","")))/SUMPRODUCT(LEN(B2:H24)),"0%")&amp;")")</f>
        <v>82 (46%)</v>
      </c>
      <c r="J25" s="1"/>
    </row>
  </sheetData>
  <sortState xmlns:xlrd2="http://schemas.microsoft.com/office/spreadsheetml/2017/richdata2" ref="A2:J25">
    <sortCondition sortBy="cellColor" ref="I2:I25" dxfId="37"/>
    <sortCondition sortBy="cellColor" ref="I2:I25" dxfId="36"/>
    <sortCondition sortBy="cellColor" ref="I2:I25" dxfId="35"/>
    <sortCondition sortBy="cellColor" ref="I2:I25" dxfId="34"/>
    <sortCondition descending="1" ref="I2:I25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999A-B4DF-4223-901E-819EE5C8A9A8}">
  <dimension ref="A1:K23"/>
  <sheetViews>
    <sheetView zoomScale="75" workbookViewId="0">
      <selection activeCell="C33" sqref="C33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10.4375" customWidth="1"/>
    <col min="11" max="11" width="36" bestFit="1" customWidth="1"/>
  </cols>
  <sheetData>
    <row r="1" spans="1:11" x14ac:dyDescent="0.6">
      <c r="B1" s="13" t="s">
        <v>114</v>
      </c>
      <c r="C1" s="13" t="s">
        <v>115</v>
      </c>
      <c r="D1" s="13" t="s">
        <v>116</v>
      </c>
      <c r="E1" s="13" t="s">
        <v>117</v>
      </c>
      <c r="F1" s="13" t="s">
        <v>118</v>
      </c>
      <c r="G1" s="13" t="s">
        <v>119</v>
      </c>
      <c r="H1" s="13" t="s">
        <v>120</v>
      </c>
      <c r="I1" s="1" t="s">
        <v>50</v>
      </c>
      <c r="J1" s="1" t="s">
        <v>130</v>
      </c>
      <c r="K1" s="1" t="s">
        <v>20</v>
      </c>
    </row>
    <row r="2" spans="1:11" x14ac:dyDescent="0.6">
      <c r="A2" s="23" t="s">
        <v>19</v>
      </c>
      <c r="B2" s="3" t="s">
        <v>67</v>
      </c>
      <c r="C2" s="3" t="s">
        <v>47</v>
      </c>
      <c r="D2" s="3" t="s">
        <v>49</v>
      </c>
      <c r="E2" s="3" t="s">
        <v>47</v>
      </c>
      <c r="F2" s="3" t="s">
        <v>47</v>
      </c>
      <c r="G2" s="3"/>
      <c r="H2" s="3" t="s">
        <v>127</v>
      </c>
      <c r="I2" s="17" t="str" cm="1">
        <f t="array" ref="I2">IF(COUNTA(B2:H2)=0,"0 (0%)",SUMPRODUCT(LEN(B2:H2))&amp;" ("&amp;TEXT(SUMPRODUCT(LEN(B2:H2)-LEN(SUBSTITUTE(B2:H2,"W","")))/SUMPRODUCT(LEN(B2:H2)),"0%")&amp;")")</f>
        <v>8 (63%)</v>
      </c>
      <c r="J2" s="21">
        <v>3</v>
      </c>
      <c r="K2" s="13" t="s">
        <v>129</v>
      </c>
    </row>
    <row r="3" spans="1:11" x14ac:dyDescent="0.6">
      <c r="A3" s="23" t="s">
        <v>12</v>
      </c>
      <c r="B3" s="3" t="s">
        <v>47</v>
      </c>
      <c r="C3" s="3" t="s">
        <v>47</v>
      </c>
      <c r="D3" s="3" t="s">
        <v>47</v>
      </c>
      <c r="E3" s="3" t="s">
        <v>48</v>
      </c>
      <c r="F3" s="3" t="s">
        <v>47</v>
      </c>
      <c r="G3" s="3" t="s">
        <v>47</v>
      </c>
      <c r="H3" s="3" t="s">
        <v>128</v>
      </c>
      <c r="I3" s="17" t="str" cm="1">
        <f t="array" ref="I3">IF(COUNTA(B3:H3)=0,"0 (0%)",SUMPRODUCT(LEN(B3:H3))&amp;" ("&amp;TEXT(SUMPRODUCT(LEN(B3:H3)-LEN(SUBSTITUTE(B3:H3,"W","")))/SUMPRODUCT(LEN(B3:H3)),"0%")&amp;")")</f>
        <v>7 (86%)</v>
      </c>
      <c r="J3" s="21">
        <v>7</v>
      </c>
      <c r="K3" s="3"/>
    </row>
    <row r="4" spans="1:11" x14ac:dyDescent="0.6">
      <c r="A4" s="23" t="s">
        <v>223</v>
      </c>
      <c r="B4" s="3" t="s">
        <v>48</v>
      </c>
      <c r="C4" s="3" t="s">
        <v>47</v>
      </c>
      <c r="D4" s="3" t="s">
        <v>48</v>
      </c>
      <c r="E4" s="3" t="s">
        <v>47</v>
      </c>
      <c r="F4" s="3" t="s">
        <v>47</v>
      </c>
      <c r="G4" s="3" t="s">
        <v>48</v>
      </c>
      <c r="H4" s="3" t="s">
        <v>128</v>
      </c>
      <c r="I4" s="17" t="str" cm="1">
        <f t="array" ref="I4">IF(COUNTA(B4:H4)=0,"0 (0%)",SUMPRODUCT(LEN(B4:H4))&amp;" ("&amp;TEXT(SUMPRODUCT(LEN(B4:H4)-LEN(SUBSTITUTE(B4:H4,"W","")))/SUMPRODUCT(LEN(B4:H4)),"0%")&amp;")")</f>
        <v>7 (57%)</v>
      </c>
      <c r="J4" s="21">
        <v>4</v>
      </c>
      <c r="K4" s="3" t="s">
        <v>44</v>
      </c>
    </row>
    <row r="5" spans="1:11" x14ac:dyDescent="0.6">
      <c r="A5" s="23" t="s">
        <v>55</v>
      </c>
      <c r="B5" s="3" t="s">
        <v>48</v>
      </c>
      <c r="C5" s="3" t="s">
        <v>47</v>
      </c>
      <c r="D5" s="3" t="s">
        <v>47</v>
      </c>
      <c r="E5" s="3"/>
      <c r="F5" s="3" t="s">
        <v>47</v>
      </c>
      <c r="G5" s="3" t="s">
        <v>47</v>
      </c>
      <c r="H5" s="3" t="s">
        <v>128</v>
      </c>
      <c r="I5" s="17" t="str" cm="1">
        <f t="array" ref="I5">IF(COUNTA(B5:H5)=0,"0 (0%)",SUMPRODUCT(LEN(B5:H5))&amp;" ("&amp;TEXT(SUMPRODUCT(LEN(B5:H5)-LEN(SUBSTITUTE(B5:H5,"W","")))/SUMPRODUCT(LEN(B5:H5)),"0%")&amp;")")</f>
        <v>6 (83%)</v>
      </c>
      <c r="J5" s="21">
        <v>6</v>
      </c>
      <c r="K5" s="3"/>
    </row>
    <row r="6" spans="1:11" x14ac:dyDescent="0.6">
      <c r="A6" s="23" t="s">
        <v>5</v>
      </c>
      <c r="B6" s="3" t="s">
        <v>47</v>
      </c>
      <c r="C6" s="3" t="s">
        <v>48</v>
      </c>
      <c r="D6" s="3" t="s">
        <v>47</v>
      </c>
      <c r="E6" s="3" t="s">
        <v>49</v>
      </c>
      <c r="F6" s="3"/>
      <c r="G6" s="3"/>
      <c r="H6" s="3"/>
      <c r="I6" s="17" t="str" cm="1">
        <f t="array" ref="I6">IF(COUNTA(B6:H6)=0,"0 (0%)",SUMPRODUCT(LEN(B6:H6))&amp;" ("&amp;TEXT(SUMPRODUCT(LEN(B6:H6)-LEN(SUBSTITUTE(B6:H6,"W","")))/SUMPRODUCT(LEN(B6:H6)),"0%")&amp;")")</f>
        <v>5 (40%)</v>
      </c>
      <c r="J6" s="21">
        <v>6</v>
      </c>
      <c r="K6" s="3"/>
    </row>
    <row r="7" spans="1:11" x14ac:dyDescent="0.6">
      <c r="A7" s="23" t="s">
        <v>40</v>
      </c>
      <c r="B7" s="21" t="s">
        <v>47</v>
      </c>
      <c r="C7" s="21" t="s">
        <v>48</v>
      </c>
      <c r="D7" s="21" t="s">
        <v>47</v>
      </c>
      <c r="E7" s="21" t="s">
        <v>48</v>
      </c>
      <c r="F7" s="21"/>
      <c r="G7" s="21"/>
      <c r="H7" s="21" t="s">
        <v>127</v>
      </c>
      <c r="I7" s="17" t="str" cm="1">
        <f t="array" ref="I7">IF(COUNTA(B7:H7)=0,"0 (0%)",SUMPRODUCT(LEN(B7:H7))&amp;" ("&amp;TEXT(SUMPRODUCT(LEN(B7:H7)-LEN(SUBSTITUTE(B7:H7,"W","")))/SUMPRODUCT(LEN(B7:H7)),"0%")&amp;")")</f>
        <v>5 (40%)</v>
      </c>
      <c r="J7" s="21">
        <v>3</v>
      </c>
      <c r="K7" s="21"/>
    </row>
    <row r="8" spans="1:11" x14ac:dyDescent="0.6">
      <c r="A8" s="23" t="s">
        <v>9</v>
      </c>
      <c r="B8" s="3"/>
      <c r="C8" s="3" t="s">
        <v>48</v>
      </c>
      <c r="D8" s="3" t="s">
        <v>48</v>
      </c>
      <c r="E8" s="3" t="s">
        <v>47</v>
      </c>
      <c r="F8" s="3" t="s">
        <v>48</v>
      </c>
      <c r="G8" s="3"/>
      <c r="H8" s="3" t="s">
        <v>127</v>
      </c>
      <c r="I8" s="17" t="str" cm="1">
        <f t="array" ref="I8">IF(COUNTA(B8:H8)=0,"0 (0%)",SUMPRODUCT(LEN(B8:H8))&amp;" ("&amp;TEXT(SUMPRODUCT(LEN(B8:H8)-LEN(SUBSTITUTE(B8:H8,"W","")))/SUMPRODUCT(LEN(B8:H8)),"0%")&amp;")")</f>
        <v>5 (20%)</v>
      </c>
      <c r="J8" s="21">
        <v>5</v>
      </c>
      <c r="K8" s="3"/>
    </row>
    <row r="9" spans="1:11" x14ac:dyDescent="0.6">
      <c r="A9" s="23" t="s">
        <v>7</v>
      </c>
      <c r="B9" s="3"/>
      <c r="C9" s="3" t="s">
        <v>48</v>
      </c>
      <c r="D9" s="3"/>
      <c r="E9" s="3" t="s">
        <v>48</v>
      </c>
      <c r="F9" s="3"/>
      <c r="G9" s="3" t="s">
        <v>47</v>
      </c>
      <c r="H9" s="3"/>
      <c r="I9" s="17" t="str" cm="1">
        <f t="array" ref="I9">IF(COUNTA(B9:H9)=0,"0 (0%)",SUMPRODUCT(LEN(B9:H9))&amp;" ("&amp;TEXT(SUMPRODUCT(LEN(B9:H9)-LEN(SUBSTITUTE(B9:H9,"W","")))/SUMPRODUCT(LEN(B9:H9)),"0%")&amp;")")</f>
        <v>3 (33%)</v>
      </c>
      <c r="J9" s="21">
        <v>4</v>
      </c>
      <c r="K9" s="13" t="s">
        <v>69</v>
      </c>
    </row>
    <row r="10" spans="1:11" x14ac:dyDescent="0.6">
      <c r="A10" s="25" t="s">
        <v>226</v>
      </c>
      <c r="B10" s="7" t="s">
        <v>47</v>
      </c>
      <c r="C10" s="7"/>
      <c r="D10" s="7" t="s">
        <v>48</v>
      </c>
      <c r="E10" s="7"/>
      <c r="F10" s="7" t="s">
        <v>47</v>
      </c>
      <c r="G10" s="7" t="s">
        <v>48</v>
      </c>
      <c r="H10" s="7"/>
      <c r="I10" s="18" t="str" cm="1">
        <f t="array" ref="I10">IF(COUNTA(B10:H10)=0,"0 (0%)",SUMPRODUCT(LEN(B10:H10))&amp;" ("&amp;TEXT(SUMPRODUCT(LEN(B10:H10)-LEN(SUBSTITUTE(B10:H10,"W","")))/SUMPRODUCT(LEN(B10:H10)),"0%")&amp;")")</f>
        <v>4 (50%)</v>
      </c>
      <c r="J10" s="16">
        <v>1</v>
      </c>
      <c r="K10" s="7"/>
    </row>
    <row r="11" spans="1:11" x14ac:dyDescent="0.6">
      <c r="A11" s="25" t="s">
        <v>38</v>
      </c>
      <c r="B11" s="7" t="s">
        <v>47</v>
      </c>
      <c r="C11" s="7"/>
      <c r="D11" s="7"/>
      <c r="E11" s="7"/>
      <c r="F11" s="7" t="s">
        <v>47</v>
      </c>
      <c r="G11" s="7" t="s">
        <v>48</v>
      </c>
      <c r="H11" s="7" t="s">
        <v>127</v>
      </c>
      <c r="I11" s="18" t="str" cm="1">
        <f t="array" ref="I11">IF(COUNTA(B11:H11)=0,"0 (0%)",SUMPRODUCT(LEN(B11:H11))&amp;" ("&amp;TEXT(SUMPRODUCT(LEN(B11:H11)-LEN(SUBSTITUTE(B11:H11,"W","")))/SUMPRODUCT(LEN(B11:H11)),"0%")&amp;")")</f>
        <v>4 (50%)</v>
      </c>
      <c r="J11" s="16">
        <v>6</v>
      </c>
      <c r="K11" s="7"/>
    </row>
    <row r="12" spans="1:11" x14ac:dyDescent="0.6">
      <c r="A12" s="25" t="s">
        <v>109</v>
      </c>
      <c r="B12" s="7"/>
      <c r="C12" s="7"/>
      <c r="D12" s="7" t="s">
        <v>47</v>
      </c>
      <c r="E12" s="7"/>
      <c r="F12" s="7" t="s">
        <v>48</v>
      </c>
      <c r="G12" s="7" t="s">
        <v>48</v>
      </c>
      <c r="H12" s="7" t="s">
        <v>127</v>
      </c>
      <c r="I12" s="18" t="str" cm="1">
        <f t="array" ref="I12">IF(COUNTA(B12:H12)=0,"0 (0%)",SUMPRODUCT(LEN(B12:H12))&amp;" ("&amp;TEXT(SUMPRODUCT(LEN(B12:H12)-LEN(SUBSTITUTE(B12:H12,"W","")))/SUMPRODUCT(LEN(B12:H12)),"0%")&amp;")")</f>
        <v>4 (25%)</v>
      </c>
      <c r="J12" s="16">
        <v>2</v>
      </c>
      <c r="K12" s="7"/>
    </row>
    <row r="13" spans="1:11" x14ac:dyDescent="0.6">
      <c r="A13" s="25" t="s">
        <v>32</v>
      </c>
      <c r="B13" s="7"/>
      <c r="C13" s="7"/>
      <c r="D13" s="7"/>
      <c r="E13" s="7"/>
      <c r="F13" s="7" t="s">
        <v>48</v>
      </c>
      <c r="G13" s="7" t="s">
        <v>48</v>
      </c>
      <c r="H13" s="7" t="s">
        <v>127</v>
      </c>
      <c r="I13" s="18" t="str" cm="1">
        <f t="array" ref="I13">IF(COUNTA(B13:H13)=0,"0 (0%)",SUMPRODUCT(LEN(B13:H13))&amp;" ("&amp;TEXT(SUMPRODUCT(LEN(B13:H13)-LEN(SUBSTITUTE(B13:H13,"W","")))/SUMPRODUCT(LEN(B13:H13)),"0%")&amp;")")</f>
        <v>3 (0%)</v>
      </c>
      <c r="J13" s="16">
        <v>5</v>
      </c>
      <c r="K13" s="7"/>
    </row>
    <row r="14" spans="1:11" x14ac:dyDescent="0.6">
      <c r="A14" s="24" t="s">
        <v>33</v>
      </c>
      <c r="B14" s="9" t="s">
        <v>47</v>
      </c>
      <c r="C14" s="9"/>
      <c r="D14" s="9" t="s">
        <v>48</v>
      </c>
      <c r="E14" s="9"/>
      <c r="F14" s="9"/>
      <c r="G14" s="9" t="s">
        <v>47</v>
      </c>
      <c r="H14" s="9" t="s">
        <v>127</v>
      </c>
      <c r="I14" s="19" t="str" cm="1">
        <f t="array" ref="I14">IF(COUNTA(B14:H14)=0,"0 (0%)",SUMPRODUCT(LEN(B14:H14))&amp;" ("&amp;TEXT(SUMPRODUCT(LEN(B14:H14)-LEN(SUBSTITUTE(B14:H14,"W","")))/SUMPRODUCT(LEN(B14:H14)),"0%")&amp;")")</f>
        <v>4 (50%)</v>
      </c>
      <c r="J14" s="22">
        <v>3</v>
      </c>
      <c r="K14" s="9" t="s">
        <v>41</v>
      </c>
    </row>
    <row r="15" spans="1:11" x14ac:dyDescent="0.6">
      <c r="A15" s="24" t="s">
        <v>18</v>
      </c>
      <c r="B15" s="9"/>
      <c r="C15" s="9" t="s">
        <v>48</v>
      </c>
      <c r="D15" s="9"/>
      <c r="E15" s="9" t="s">
        <v>47</v>
      </c>
      <c r="F15" s="9"/>
      <c r="G15" s="9" t="s">
        <v>47</v>
      </c>
      <c r="H15" s="9"/>
      <c r="I15" s="19" t="str" cm="1">
        <f t="array" ref="I15">IF(COUNTA(B15:H15)=0,"0 (0%)",SUMPRODUCT(LEN(B15:H15))&amp;" ("&amp;TEXT(SUMPRODUCT(LEN(B15:H15)-LEN(SUBSTITUTE(B15:H15,"W","")))/SUMPRODUCT(LEN(B15:H15)),"0%")&amp;")")</f>
        <v>3 (67%)</v>
      </c>
      <c r="J15" s="22">
        <v>6</v>
      </c>
      <c r="K15" s="9" t="s">
        <v>104</v>
      </c>
    </row>
    <row r="16" spans="1:11" x14ac:dyDescent="0.6">
      <c r="A16" s="24" t="s">
        <v>221</v>
      </c>
      <c r="B16" s="9"/>
      <c r="C16" s="9" t="s">
        <v>47</v>
      </c>
      <c r="D16" s="9"/>
      <c r="E16" s="9"/>
      <c r="F16" s="9"/>
      <c r="G16" s="9" t="s">
        <v>48</v>
      </c>
      <c r="H16" s="9" t="s">
        <v>128</v>
      </c>
      <c r="I16" s="19" t="str" cm="1">
        <f t="array" ref="I16">IF(COUNTA(B16:H16)=0,"0 (0%)",SUMPRODUCT(LEN(B16:H16))&amp;" ("&amp;TEXT(SUMPRODUCT(LEN(B16:H16)-LEN(SUBSTITUTE(B16:H16,"W","")))/SUMPRODUCT(LEN(B16:H16)),"0%")&amp;")")</f>
        <v>3 (67%)</v>
      </c>
      <c r="J16" s="22">
        <v>4</v>
      </c>
      <c r="K16" s="9" t="s">
        <v>126</v>
      </c>
    </row>
    <row r="17" spans="1:11" x14ac:dyDescent="0.6">
      <c r="A17" s="24" t="s">
        <v>121</v>
      </c>
      <c r="B17" s="9"/>
      <c r="C17" s="9"/>
      <c r="D17" s="9"/>
      <c r="E17" s="9" t="s">
        <v>47</v>
      </c>
      <c r="F17" s="9" t="s">
        <v>47</v>
      </c>
      <c r="G17" s="9"/>
      <c r="H17" s="9"/>
      <c r="I17" s="19" t="str" cm="1">
        <f t="array" ref="I17">IF(COUNTA(B17:H17)=0,"0 (0%)",SUMPRODUCT(LEN(B17:H17))&amp;" ("&amp;TEXT(SUMPRODUCT(LEN(B17:H17)-LEN(SUBSTITUTE(B17:H17,"W","")))/SUMPRODUCT(LEN(B17:H17)),"0%")&amp;")")</f>
        <v>2 (100%)</v>
      </c>
      <c r="J17" s="22" t="s">
        <v>131</v>
      </c>
      <c r="K17" s="9" t="s">
        <v>122</v>
      </c>
    </row>
    <row r="18" spans="1:11" x14ac:dyDescent="0.6">
      <c r="A18" s="26" t="s">
        <v>2</v>
      </c>
      <c r="B18" s="5" t="s">
        <v>47</v>
      </c>
      <c r="C18" s="5" t="s">
        <v>48</v>
      </c>
      <c r="D18" s="5"/>
      <c r="E18" s="5" t="s">
        <v>48</v>
      </c>
      <c r="F18" s="5" t="s">
        <v>47</v>
      </c>
      <c r="G18" s="5" t="s">
        <v>47</v>
      </c>
      <c r="H18" s="5" t="s">
        <v>128</v>
      </c>
      <c r="I18" s="20" t="str" cm="1">
        <f t="array" ref="I18">IF(COUNTA(B18:H18)=0,"0 (0%)",SUMPRODUCT(LEN(B18:H18))&amp;" ("&amp;TEXT(SUMPRODUCT(LEN(B18:H18)-LEN(SUBSTITUTE(B18:H18,"W","")))/SUMPRODUCT(LEN(B18:H18)),"0%")&amp;")")</f>
        <v>6 (67%)</v>
      </c>
      <c r="J18" s="20"/>
      <c r="K18" s="5" t="s">
        <v>125</v>
      </c>
    </row>
    <row r="19" spans="1:11" x14ac:dyDescent="0.6">
      <c r="A19" s="26" t="s">
        <v>85</v>
      </c>
      <c r="B19" s="5" t="s">
        <v>48</v>
      </c>
      <c r="C19" s="5" t="s">
        <v>48</v>
      </c>
      <c r="D19" s="5"/>
      <c r="E19" s="5"/>
      <c r="F19" s="5" t="s">
        <v>47</v>
      </c>
      <c r="G19" s="5"/>
      <c r="H19" s="5"/>
      <c r="I19" s="20" t="str" cm="1">
        <f t="array" ref="I19">IF(COUNTA(B19:H19)=0,"0 (0%)",SUMPRODUCT(LEN(B19:H19))&amp;" ("&amp;TEXT(SUMPRODUCT(LEN(B19:H19)-LEN(SUBSTITUTE(B19:H19,"W","")))/SUMPRODUCT(LEN(B19:H19)),"0%")&amp;")")</f>
        <v>3 (33%)</v>
      </c>
      <c r="J19" s="20"/>
      <c r="K19" s="5" t="s">
        <v>89</v>
      </c>
    </row>
    <row r="20" spans="1:11" x14ac:dyDescent="0.6">
      <c r="A20" s="26" t="s">
        <v>3</v>
      </c>
      <c r="B20" s="12"/>
      <c r="C20" s="12"/>
      <c r="D20" s="12" t="s">
        <v>47</v>
      </c>
      <c r="E20" s="12" t="s">
        <v>48</v>
      </c>
      <c r="F20" s="12"/>
      <c r="G20" s="12"/>
      <c r="H20" s="12"/>
      <c r="I20" s="20" t="str" cm="1">
        <f t="array" ref="I20">IF(COUNTA(B20:H20)=0,"0 (0%)",SUMPRODUCT(LEN(B20:H20))&amp;" ("&amp;TEXT(SUMPRODUCT(LEN(B20:H20)-LEN(SUBSTITUTE(B20:H20,"W","")))/SUMPRODUCT(LEN(B20:H20)),"0%")&amp;")")</f>
        <v>2 (50%)</v>
      </c>
      <c r="J20" s="20"/>
      <c r="K20" s="5" t="s">
        <v>124</v>
      </c>
    </row>
    <row r="21" spans="1:11" x14ac:dyDescent="0.6">
      <c r="A21" s="26" t="s">
        <v>0</v>
      </c>
      <c r="B21" s="5"/>
      <c r="C21" s="5"/>
      <c r="D21" s="5"/>
      <c r="E21" s="5"/>
      <c r="F21" s="5"/>
      <c r="G21" s="5"/>
      <c r="H21" s="5"/>
      <c r="I21" s="20" t="str" cm="1">
        <f t="array" ref="I21">IF(COUNTA(B21:H21)=0,"0 (0%)",SUMPRODUCT(LEN(B21:H21))&amp;" ("&amp;TEXT(SUMPRODUCT(LEN(B21:H21)-LEN(SUBSTITUTE(B21:H21,"W","")))/SUMPRODUCT(LEN(B21:H21)),"0%")&amp;")")</f>
        <v>0 (0%)</v>
      </c>
      <c r="J21" s="20"/>
      <c r="K21" s="5" t="s">
        <v>123</v>
      </c>
    </row>
    <row r="22" spans="1:11" x14ac:dyDescent="0.6">
      <c r="A22" s="26" t="s">
        <v>84</v>
      </c>
      <c r="B22" s="5"/>
      <c r="C22" s="5"/>
      <c r="D22" s="5"/>
      <c r="E22" s="5"/>
      <c r="F22" s="5"/>
      <c r="G22" s="5"/>
      <c r="H22" s="5"/>
      <c r="I22" s="20" t="str" cm="1">
        <f t="array" ref="I22">IF(COUNTA(B22:H22)=0,"0 (0%)",SUMPRODUCT(LEN(B22:H22))&amp;" ("&amp;TEXT(SUMPRODUCT(LEN(B22:H22)-LEN(SUBSTITUTE(B22:H22,"W","")))/SUMPRODUCT(LEN(B22:H22)),"0%")&amp;")")</f>
        <v>0 (0%)</v>
      </c>
      <c r="J22" s="20"/>
      <c r="K22" s="5" t="s">
        <v>89</v>
      </c>
    </row>
    <row r="23" spans="1:11" x14ac:dyDescent="0.6">
      <c r="A23" s="14" t="s">
        <v>50</v>
      </c>
      <c r="B23" s="3" t="str" cm="1">
        <f t="array" ref="B23">IF(COUNTA(B2:B22)=0,"0 (0%)",SUMPRODUCT(LEN(B2:B22))&amp;" ("&amp;TEXT(SUMPRODUCT(LEN(B2:B22)-LEN(SUBSTITUTE(B2:B22,"W","")))/SUMPRODUCT(LEN(B2:B22)),"0%")&amp;")")</f>
        <v>12 (75%)</v>
      </c>
      <c r="C23" s="3" t="str" cm="1">
        <f t="array" ref="C23">IF(COUNTA(C2:C22)=0,"0 (0%)",SUMPRODUCT(LEN(C2:C22))&amp;" ("&amp;TEXT(SUMPRODUCT(LEN(C2:C22)-LEN(SUBSTITUTE(C2:C22,"W","")))/SUMPRODUCT(LEN(C2:C22)),"0%")&amp;")")</f>
        <v>12 (42%)</v>
      </c>
      <c r="D23" s="3" t="str" cm="1">
        <f t="array" ref="D23">IF(COUNTA(D2:D22)=0,"0 (0%)",SUMPRODUCT(LEN(D2:D22))&amp;" ("&amp;TEXT(SUMPRODUCT(LEN(D2:D22)-LEN(SUBSTITUTE(D2:D22,"W","")))/SUMPRODUCT(LEN(D2:D22)),"0%")&amp;")")</f>
        <v>12 (50%)</v>
      </c>
      <c r="E23" s="3" t="str" cm="1">
        <f t="array" ref="E23">IF(COUNTA(E2:E22)=0,"0 (0%)",SUMPRODUCT(LEN(E2:E22))&amp;" ("&amp;TEXT(SUMPRODUCT(LEN(E2:E22)-LEN(SUBSTITUTE(E2:E22,"W","")))/SUMPRODUCT(LEN(E2:E22)),"0%")&amp;")")</f>
        <v>12 (42%)</v>
      </c>
      <c r="F23" s="3" t="str" cm="1">
        <f t="array" ref="F23">IF(COUNTA(F2:F22)=0,"0 (0%)",SUMPRODUCT(LEN(F2:F22))&amp;" ("&amp;TEXT(SUMPRODUCT(LEN(F2:F22)-LEN(SUBSTITUTE(F2:F22,"W","")))/SUMPRODUCT(LEN(F2:F22)),"0%")&amp;")")</f>
        <v>12 (75%)</v>
      </c>
      <c r="G23" s="3" t="str" cm="1">
        <f t="array" ref="G23">IF(COUNTA(G2:G22)=0,"0 (0%)",SUMPRODUCT(LEN(G2:G22))&amp;" ("&amp;TEXT(SUMPRODUCT(LEN(G2:G22)-LEN(SUBSTITUTE(G2:G22,"W","")))/SUMPRODUCT(LEN(G2:G22)),"0%")&amp;")")</f>
        <v>12 (50%)</v>
      </c>
      <c r="H23" s="3" t="str" cm="1">
        <f t="array" ref="H23">IF(COUNTA(H2:H22)=0,"0 (0%)",SUMPRODUCT(LEN(H2:H22))&amp;" ("&amp;TEXT(SUMPRODUCT(LEN(H2:H22)-LEN(SUBSTITUTE(H2:H22,"W","")))/SUMPRODUCT(LEN(H2:H22)),"0%")&amp;")")</f>
        <v>12 (42%)</v>
      </c>
      <c r="I23" s="1" t="str" cm="1">
        <f t="array" ref="I23">IF(COUNTA(B2:H22)=0,"0 (0%)",SUMPRODUCT(LEN(B2:H22))&amp;" ("&amp;TEXT(SUMPRODUCT(LEN(B2:H22)-LEN(SUBSTITUTE(B2:H22,"W","")))/SUMPRODUCT(LEN(B2:H22)),"0%")&amp;")")</f>
        <v>84 (54%)</v>
      </c>
      <c r="J23" s="1" t="s">
        <v>132</v>
      </c>
      <c r="K23" s="1"/>
    </row>
  </sheetData>
  <sortState xmlns:xlrd2="http://schemas.microsoft.com/office/spreadsheetml/2017/richdata2" ref="A2:K22">
    <sortCondition sortBy="cellColor" ref="I2:I22" dxfId="33"/>
    <sortCondition sortBy="cellColor" ref="I2:I22" dxfId="32"/>
    <sortCondition sortBy="cellColor" ref="I2:I22" dxfId="31"/>
    <sortCondition sortBy="cellColor" ref="I2:I22" dxfId="30"/>
    <sortCondition descending="1" ref="I2:I22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9392-626C-4972-AD84-F1145D40BEB8}">
  <dimension ref="A1:K24"/>
  <sheetViews>
    <sheetView zoomScale="75" workbookViewId="0">
      <selection activeCell="K26" sqref="K26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10.4375" customWidth="1"/>
    <col min="11" max="11" width="36" bestFit="1" customWidth="1"/>
  </cols>
  <sheetData>
    <row r="1" spans="1:11" x14ac:dyDescent="0.6">
      <c r="B1" s="13" t="s">
        <v>133</v>
      </c>
      <c r="C1" s="10" t="s">
        <v>134</v>
      </c>
      <c r="D1" s="13" t="s">
        <v>135</v>
      </c>
      <c r="E1" s="13" t="s">
        <v>136</v>
      </c>
      <c r="F1" s="13" t="s">
        <v>137</v>
      </c>
      <c r="G1" s="13" t="s">
        <v>138</v>
      </c>
      <c r="H1" s="10" t="s">
        <v>139</v>
      </c>
      <c r="I1" s="1" t="s">
        <v>50</v>
      </c>
      <c r="J1" s="1" t="s">
        <v>130</v>
      </c>
      <c r="K1" s="1" t="s">
        <v>20</v>
      </c>
    </row>
    <row r="2" spans="1:11" x14ac:dyDescent="0.6">
      <c r="A2" s="23" t="s">
        <v>223</v>
      </c>
      <c r="B2" s="3" t="s">
        <v>47</v>
      </c>
      <c r="C2" s="3" t="s">
        <v>75</v>
      </c>
      <c r="D2" s="3" t="s">
        <v>75</v>
      </c>
      <c r="E2" s="3"/>
      <c r="F2" s="3" t="s">
        <v>48</v>
      </c>
      <c r="G2" s="3" t="s">
        <v>48</v>
      </c>
      <c r="H2" s="3" t="s">
        <v>47</v>
      </c>
      <c r="I2" s="17" t="str" cm="1">
        <f t="array" ref="I2">IF(COUNTA(B2:H2)=0,"0 (0%)",SUMPRODUCT(LEN(B2:H2))&amp;" ("&amp;TEXT(SUMPRODUCT(LEN(B2:H2)-LEN(SUBSTITUTE(B2:H2,"W","")))/SUMPRODUCT(LEN(B2:H2)),"0%")&amp;")")</f>
        <v>8 (50%)</v>
      </c>
      <c r="J2" s="21" t="s">
        <v>144</v>
      </c>
      <c r="K2" s="3" t="s">
        <v>44</v>
      </c>
    </row>
    <row r="3" spans="1:11" x14ac:dyDescent="0.6">
      <c r="A3" s="23" t="s">
        <v>38</v>
      </c>
      <c r="B3" s="3" t="s">
        <v>48</v>
      </c>
      <c r="C3" s="3" t="s">
        <v>47</v>
      </c>
      <c r="D3" s="3" t="s">
        <v>47</v>
      </c>
      <c r="E3" s="3"/>
      <c r="F3" s="3" t="s">
        <v>47</v>
      </c>
      <c r="G3" s="3" t="s">
        <v>48</v>
      </c>
      <c r="H3" s="3" t="s">
        <v>48</v>
      </c>
      <c r="I3" s="17" t="str" cm="1">
        <f t="array" ref="I3">IF(COUNTA(B3:H3)=0,"0 (0%)",SUMPRODUCT(LEN(B3:H3))&amp;" ("&amp;TEXT(SUMPRODUCT(LEN(B3:H3)-LEN(SUBSTITUTE(B3:H3,"W","")))/SUMPRODUCT(LEN(B3:H3)),"0%")&amp;")")</f>
        <v>6 (50%)</v>
      </c>
      <c r="J3" s="21" t="s">
        <v>149</v>
      </c>
      <c r="K3" s="3"/>
    </row>
    <row r="4" spans="1:11" x14ac:dyDescent="0.6">
      <c r="A4" s="23" t="s">
        <v>121</v>
      </c>
      <c r="B4" s="3" t="s">
        <v>48</v>
      </c>
      <c r="C4" s="3" t="s">
        <v>47</v>
      </c>
      <c r="D4" s="3" t="s">
        <v>47</v>
      </c>
      <c r="E4" s="3"/>
      <c r="F4" s="3" t="s">
        <v>47</v>
      </c>
      <c r="G4" s="3"/>
      <c r="H4" s="3" t="s">
        <v>47</v>
      </c>
      <c r="I4" s="17" t="str" cm="1">
        <f t="array" ref="I4">IF(COUNTA(B4:H4)=0,"0 (0%)",SUMPRODUCT(LEN(B4:H4))&amp;" ("&amp;TEXT(SUMPRODUCT(LEN(B4:H4)-LEN(SUBSTITUTE(B4:H4,"W","")))/SUMPRODUCT(LEN(B4:H4)),"0%")&amp;")")</f>
        <v>5 (80%)</v>
      </c>
      <c r="J4" s="21" t="s">
        <v>151</v>
      </c>
      <c r="K4" s="3"/>
    </row>
    <row r="5" spans="1:11" x14ac:dyDescent="0.6">
      <c r="A5" s="23" t="s">
        <v>226</v>
      </c>
      <c r="B5" s="3" t="s">
        <v>48</v>
      </c>
      <c r="C5" s="3"/>
      <c r="D5" s="3"/>
      <c r="E5" s="3" t="s">
        <v>47</v>
      </c>
      <c r="F5" s="3" t="s">
        <v>48</v>
      </c>
      <c r="G5" s="3" t="s">
        <v>47</v>
      </c>
      <c r="H5" s="3" t="s">
        <v>47</v>
      </c>
      <c r="I5" s="17" t="str" cm="1">
        <f t="array" ref="I5">IF(COUNTA(B5:H5)=0,"0 (0%)",SUMPRODUCT(LEN(B5:H5))&amp;" ("&amp;TEXT(SUMPRODUCT(LEN(B5:H5)-LEN(SUBSTITUTE(B5:H5,"W","")))/SUMPRODUCT(LEN(B5:H5)),"0%")&amp;")")</f>
        <v>5 (60%)</v>
      </c>
      <c r="J5" s="21" t="s">
        <v>149</v>
      </c>
      <c r="K5" s="3"/>
    </row>
    <row r="6" spans="1:11" x14ac:dyDescent="0.6">
      <c r="A6" s="23" t="s">
        <v>9</v>
      </c>
      <c r="B6" s="3" t="s">
        <v>48</v>
      </c>
      <c r="C6" s="3"/>
      <c r="D6" s="3"/>
      <c r="E6" s="3" t="s">
        <v>48</v>
      </c>
      <c r="F6" s="3" t="s">
        <v>47</v>
      </c>
      <c r="G6" s="3" t="s">
        <v>47</v>
      </c>
      <c r="H6" s="3" t="s">
        <v>47</v>
      </c>
      <c r="I6" s="17" t="str" cm="1">
        <f t="array" ref="I6">IF(COUNTA(B6:H6)=0,"0 (0%)",SUMPRODUCT(LEN(B6:H6))&amp;" ("&amp;TEXT(SUMPRODUCT(LEN(B6:H6)-LEN(SUBSTITUTE(B6:H6,"W","")))/SUMPRODUCT(LEN(B6:H6)),"0%")&amp;")")</f>
        <v>5 (60%)</v>
      </c>
      <c r="J6" s="21" t="s">
        <v>147</v>
      </c>
      <c r="K6" s="3"/>
    </row>
    <row r="7" spans="1:11" x14ac:dyDescent="0.6">
      <c r="A7" s="23" t="s">
        <v>55</v>
      </c>
      <c r="B7" s="3" t="s">
        <v>47</v>
      </c>
      <c r="C7" s="3" t="s">
        <v>48</v>
      </c>
      <c r="D7" s="3" t="s">
        <v>47</v>
      </c>
      <c r="E7" s="3" t="s">
        <v>48</v>
      </c>
      <c r="F7" s="3" t="s">
        <v>48</v>
      </c>
      <c r="G7" s="3"/>
      <c r="H7" s="3"/>
      <c r="I7" s="17" t="str" cm="1">
        <f t="array" ref="I7">IF(COUNTA(B7:H7)=0,"0 (0%)",SUMPRODUCT(LEN(B7:H7))&amp;" ("&amp;TEXT(SUMPRODUCT(LEN(B7:H7)-LEN(SUBSTITUTE(B7:H7,"W","")))/SUMPRODUCT(LEN(B7:H7)),"0%")&amp;")")</f>
        <v>5 (40%)</v>
      </c>
      <c r="J7" s="21" t="s">
        <v>145</v>
      </c>
      <c r="K7" s="3"/>
    </row>
    <row r="8" spans="1:11" x14ac:dyDescent="0.6">
      <c r="A8" s="23" t="s">
        <v>12</v>
      </c>
      <c r="B8" s="3" t="s">
        <v>47</v>
      </c>
      <c r="C8" s="3"/>
      <c r="D8" s="3"/>
      <c r="E8" s="3" t="s">
        <v>48</v>
      </c>
      <c r="F8" s="3" t="s">
        <v>48</v>
      </c>
      <c r="G8" s="3" t="s">
        <v>47</v>
      </c>
      <c r="H8" s="3" t="s">
        <v>48</v>
      </c>
      <c r="I8" s="17" t="str" cm="1">
        <f t="array" ref="I8">IF(COUNTA(B8:H8)=0,"0 (0%)",SUMPRODUCT(LEN(B8:H8))&amp;" ("&amp;TEXT(SUMPRODUCT(LEN(B8:H8)-LEN(SUBSTITUTE(B8:H8,"W","")))/SUMPRODUCT(LEN(B8:H8)),"0%")&amp;")")</f>
        <v>5 (40%)</v>
      </c>
      <c r="J8" s="21" t="s">
        <v>143</v>
      </c>
      <c r="K8" s="3"/>
    </row>
    <row r="9" spans="1:11" x14ac:dyDescent="0.6">
      <c r="A9" s="23" t="s">
        <v>221</v>
      </c>
      <c r="B9" s="3"/>
      <c r="C9" s="3" t="s">
        <v>47</v>
      </c>
      <c r="D9" s="3" t="s">
        <v>48</v>
      </c>
      <c r="E9" s="3" t="s">
        <v>47</v>
      </c>
      <c r="F9" s="3" t="s">
        <v>48</v>
      </c>
      <c r="G9" s="3"/>
      <c r="H9" s="3" t="s">
        <v>48</v>
      </c>
      <c r="I9" s="17" t="str" cm="1">
        <f t="array" ref="I9">IF(COUNTA(B9:H9)=0,"0 (0%)",SUMPRODUCT(LEN(B9:H9))&amp;" ("&amp;TEXT(SUMPRODUCT(LEN(B9:H9)-LEN(SUBSTITUTE(B9:H9,"W","")))/SUMPRODUCT(LEN(B9:H9)),"0%")&amp;")")</f>
        <v>5 (40%)</v>
      </c>
      <c r="J9" s="21" t="s">
        <v>150</v>
      </c>
      <c r="K9" s="3" t="s">
        <v>43</v>
      </c>
    </row>
    <row r="10" spans="1:11" x14ac:dyDescent="0.6">
      <c r="A10" s="25" t="s">
        <v>5</v>
      </c>
      <c r="B10" s="7" t="s">
        <v>48</v>
      </c>
      <c r="C10" s="7" t="s">
        <v>48</v>
      </c>
      <c r="D10" s="7" t="s">
        <v>47</v>
      </c>
      <c r="E10" s="7" t="s">
        <v>47</v>
      </c>
      <c r="F10" s="7"/>
      <c r="G10" s="7"/>
      <c r="H10" s="7"/>
      <c r="I10" s="18" t="str" cm="1">
        <f t="array" ref="I10">IF(COUNTA(B10:H10)=0,"0 (0%)",SUMPRODUCT(LEN(B10:H10))&amp;" ("&amp;TEXT(SUMPRODUCT(LEN(B10:H10)-LEN(SUBSTITUTE(B10:H10,"W","")))/SUMPRODUCT(LEN(B10:H10)),"0%")&amp;")")</f>
        <v>4 (50%)</v>
      </c>
      <c r="J10" s="16" t="s">
        <v>146</v>
      </c>
      <c r="K10" s="7"/>
    </row>
    <row r="11" spans="1:11" x14ac:dyDescent="0.6">
      <c r="A11" s="25" t="s">
        <v>32</v>
      </c>
      <c r="B11" s="7"/>
      <c r="C11" s="7" t="s">
        <v>47</v>
      </c>
      <c r="D11" s="7" t="s">
        <v>47</v>
      </c>
      <c r="E11" s="7" t="s">
        <v>47</v>
      </c>
      <c r="F11" s="7"/>
      <c r="G11" s="7"/>
      <c r="H11" s="7"/>
      <c r="I11" s="18" t="str" cm="1">
        <f t="array" ref="I11">IF(COUNTA(B11:H11)=0,"0 (0%)",SUMPRODUCT(LEN(B11:H11))&amp;" ("&amp;TEXT(SUMPRODUCT(LEN(B11:H11)-LEN(SUBSTITUTE(B11:H11,"W","")))/SUMPRODUCT(LEN(B11:H11)),"0%")&amp;")")</f>
        <v>3 (100%)</v>
      </c>
      <c r="J11" s="16" t="s">
        <v>153</v>
      </c>
      <c r="K11" s="7"/>
    </row>
    <row r="12" spans="1:11" x14ac:dyDescent="0.6">
      <c r="A12" s="25" t="s">
        <v>141</v>
      </c>
      <c r="B12" s="7"/>
      <c r="C12" s="7" t="s">
        <v>48</v>
      </c>
      <c r="D12" s="7"/>
      <c r="E12" s="7" t="s">
        <v>48</v>
      </c>
      <c r="F12" s="7"/>
      <c r="G12" s="7" t="s">
        <v>48</v>
      </c>
      <c r="H12" s="7"/>
      <c r="I12" s="18" t="str" cm="1">
        <f t="array" ref="I12">IF(COUNTA(B12:H12)=0,"0 (0%)",SUMPRODUCT(LEN(B12:H12))&amp;" ("&amp;TEXT(SUMPRODUCT(LEN(B12:H12)-LEN(SUBSTITUTE(B12:H12,"W","")))/SUMPRODUCT(LEN(B12:H12)),"0%")&amp;")")</f>
        <v>3 (0%)</v>
      </c>
      <c r="J12" s="7" t="s">
        <v>131</v>
      </c>
      <c r="K12" s="7"/>
    </row>
    <row r="13" spans="1:11" x14ac:dyDescent="0.6">
      <c r="A13" s="25" t="s">
        <v>109</v>
      </c>
      <c r="B13" s="7"/>
      <c r="C13" s="7"/>
      <c r="D13" s="7"/>
      <c r="E13" s="7"/>
      <c r="F13" s="7"/>
      <c r="G13" s="7" t="s">
        <v>48</v>
      </c>
      <c r="H13" s="7"/>
      <c r="I13" s="18" t="str" cm="1">
        <f t="array" ref="I13">IF(COUNTA(B13:H13)=0,"0 (0%)",SUMPRODUCT(LEN(B13:H13))&amp;" ("&amp;TEXT(SUMPRODUCT(LEN(B13:H13)-LEN(SUBSTITUTE(B13:H13,"W","")))/SUMPRODUCT(LEN(B13:H13)),"0%")&amp;")")</f>
        <v>1 (0%)</v>
      </c>
      <c r="J13" s="16" t="s">
        <v>152</v>
      </c>
      <c r="K13" s="7"/>
    </row>
    <row r="14" spans="1:11" x14ac:dyDescent="0.6">
      <c r="A14" s="25" t="s">
        <v>40</v>
      </c>
      <c r="B14" s="16"/>
      <c r="C14" s="16"/>
      <c r="D14" s="16"/>
      <c r="E14" s="16"/>
      <c r="F14" s="16"/>
      <c r="G14" s="16"/>
      <c r="H14" s="16"/>
      <c r="I14" s="18" t="str" cm="1">
        <f t="array" ref="I14">IF(COUNTA(B14:H14)=0,"0 (0%)",SUMPRODUCT(LEN(B14:H14))&amp;" ("&amp;TEXT(SUMPRODUCT(LEN(B14:H14)-LEN(SUBSTITUTE(B14:H14,"W","")))/SUMPRODUCT(LEN(B14:H14)),"0%")&amp;")")</f>
        <v>0 (0%)</v>
      </c>
      <c r="J14" s="16" t="s">
        <v>146</v>
      </c>
      <c r="K14" s="16" t="s">
        <v>199</v>
      </c>
    </row>
    <row r="15" spans="1:11" x14ac:dyDescent="0.6">
      <c r="A15" s="24" t="s">
        <v>19</v>
      </c>
      <c r="B15" s="9"/>
      <c r="C15" s="9"/>
      <c r="D15" s="9"/>
      <c r="E15" s="9" t="s">
        <v>47</v>
      </c>
      <c r="F15" s="9" t="s">
        <v>48</v>
      </c>
      <c r="G15" s="9" t="s">
        <v>75</v>
      </c>
      <c r="H15" s="9"/>
      <c r="I15" s="19" t="str" cm="1">
        <f t="array" ref="I15">IF(COUNTA(B15:H15)=0,"0 (0%)",SUMPRODUCT(LEN(B15:H15))&amp;" ("&amp;TEXT(SUMPRODUCT(LEN(B15:H15)-LEN(SUBSTITUTE(B15:H15,"W","")))/SUMPRODUCT(LEN(B15:H15)),"0%")&amp;")")</f>
        <v>4 (50%)</v>
      </c>
      <c r="J15" s="22" t="s">
        <v>142</v>
      </c>
      <c r="K15" s="27" t="s">
        <v>156</v>
      </c>
    </row>
    <row r="16" spans="1:11" x14ac:dyDescent="0.6">
      <c r="A16" s="24" t="s">
        <v>7</v>
      </c>
      <c r="B16" s="9" t="s">
        <v>48</v>
      </c>
      <c r="C16" s="9"/>
      <c r="D16" s="9" t="s">
        <v>48</v>
      </c>
      <c r="E16" s="9"/>
      <c r="F16" s="9" t="s">
        <v>47</v>
      </c>
      <c r="G16" s="9"/>
      <c r="H16" s="9" t="s">
        <v>48</v>
      </c>
      <c r="I16" s="19" t="str" cm="1">
        <f t="array" ref="I16">IF(COUNTA(B16:H16)=0,"0 (0%)",SUMPRODUCT(LEN(B16:H16))&amp;" ("&amp;TEXT(SUMPRODUCT(LEN(B16:H16)-LEN(SUBSTITUTE(B16:H16,"W","")))/SUMPRODUCT(LEN(B16:H16)),"0%")&amp;")")</f>
        <v>4 (25%)</v>
      </c>
      <c r="J16" s="22" t="s">
        <v>148</v>
      </c>
      <c r="K16" s="27" t="s">
        <v>69</v>
      </c>
    </row>
    <row r="17" spans="1:11" x14ac:dyDescent="0.6">
      <c r="A17" s="24" t="s">
        <v>33</v>
      </c>
      <c r="B17" s="9"/>
      <c r="C17" s="9"/>
      <c r="D17" s="9"/>
      <c r="E17" s="9" t="s">
        <v>47</v>
      </c>
      <c r="F17" s="9" t="s">
        <v>47</v>
      </c>
      <c r="G17" s="9" t="s">
        <v>47</v>
      </c>
      <c r="H17" s="9" t="s">
        <v>47</v>
      </c>
      <c r="I17" s="19" t="str" cm="1">
        <f t="array" ref="I17">IF(COUNTA(B17:H17)=0,"0 (0%)",SUMPRODUCT(LEN(B17:H17))&amp;" ("&amp;TEXT(SUMPRODUCT(LEN(B17:H17)-LEN(SUBSTITUTE(B17:H17,"W","")))/SUMPRODUCT(LEN(B17:H17)),"0%")&amp;")")</f>
        <v>4 (100%)</v>
      </c>
      <c r="J17" s="22" t="s">
        <v>149</v>
      </c>
      <c r="K17" s="9" t="s">
        <v>41</v>
      </c>
    </row>
    <row r="18" spans="1:11" x14ac:dyDescent="0.6">
      <c r="A18" s="24" t="s">
        <v>18</v>
      </c>
      <c r="B18" s="9"/>
      <c r="C18" s="9"/>
      <c r="D18" s="9"/>
      <c r="E18" s="9"/>
      <c r="F18" s="9"/>
      <c r="G18" s="9"/>
      <c r="H18" s="9"/>
      <c r="I18" s="19" t="str" cm="1">
        <f t="array" ref="I18">IF(COUNTA(B18:H18)=0,"0 (0%)",SUMPRODUCT(LEN(B18:H18))&amp;" ("&amp;TEXT(SUMPRODUCT(LEN(B18:H18)-LEN(SUBSTITUTE(B18:H18,"W","")))/SUMPRODUCT(LEN(B18:H18)),"0%")&amp;")")</f>
        <v>0 (0%)</v>
      </c>
      <c r="J18" s="22" t="s">
        <v>150</v>
      </c>
      <c r="K18" s="9" t="s">
        <v>104</v>
      </c>
    </row>
    <row r="19" spans="1:11" x14ac:dyDescent="0.6">
      <c r="A19" s="26" t="s">
        <v>140</v>
      </c>
      <c r="B19" s="5" t="s">
        <v>48</v>
      </c>
      <c r="C19" s="5" t="s">
        <v>47</v>
      </c>
      <c r="D19" s="5" t="s">
        <v>47</v>
      </c>
      <c r="E19" s="5" t="s">
        <v>48</v>
      </c>
      <c r="F19" s="5"/>
      <c r="G19" s="5"/>
      <c r="H19" s="5" t="s">
        <v>75</v>
      </c>
      <c r="I19" s="20" t="str" cm="1">
        <f t="array" ref="I19">IF(COUNTA(B19:H19)=0,"0 (0%)",SUMPRODUCT(LEN(B19:H19))&amp;" ("&amp;TEXT(SUMPRODUCT(LEN(B19:H19)-LEN(SUBSTITUTE(B19:H19,"W","")))/SUMPRODUCT(LEN(B19:H19)),"0%")&amp;")")</f>
        <v>6 (50%)</v>
      </c>
      <c r="J19" s="20"/>
      <c r="K19" s="5" t="s">
        <v>89</v>
      </c>
    </row>
    <row r="20" spans="1:11" x14ac:dyDescent="0.6">
      <c r="A20" s="26" t="s">
        <v>2</v>
      </c>
      <c r="B20" s="5" t="s">
        <v>48</v>
      </c>
      <c r="C20" s="5" t="s">
        <v>48</v>
      </c>
      <c r="D20" s="5" t="s">
        <v>47</v>
      </c>
      <c r="E20" s="5" t="s">
        <v>47</v>
      </c>
      <c r="F20" s="5" t="s">
        <v>48</v>
      </c>
      <c r="G20" s="5" t="s">
        <v>47</v>
      </c>
      <c r="H20" s="5"/>
      <c r="I20" s="20" t="str" cm="1">
        <f t="array" ref="I20">IF(COUNTA(B20:H20)=0,"0 (0%)",SUMPRODUCT(LEN(B20:H20))&amp;" ("&amp;TEXT(SUMPRODUCT(LEN(B20:H20)-LEN(SUBSTITUTE(B20:H20,"W","")))/SUMPRODUCT(LEN(B20:H20)),"0%")&amp;")")</f>
        <v>6 (50%)</v>
      </c>
      <c r="J20" s="12" t="s">
        <v>154</v>
      </c>
      <c r="K20" s="5" t="s">
        <v>125</v>
      </c>
    </row>
    <row r="21" spans="1:11" x14ac:dyDescent="0.6">
      <c r="A21" s="26" t="s">
        <v>85</v>
      </c>
      <c r="B21" s="5" t="s">
        <v>48</v>
      </c>
      <c r="C21" s="5"/>
      <c r="D21" s="5" t="s">
        <v>47</v>
      </c>
      <c r="E21" s="5"/>
      <c r="F21" s="5"/>
      <c r="G21" s="5"/>
      <c r="H21" s="5"/>
      <c r="I21" s="20" t="str" cm="1">
        <f t="array" ref="I21">IF(COUNTA(B21:H21)=0,"0 (0%)",SUMPRODUCT(LEN(B21:H21))&amp;" ("&amp;TEXT(SUMPRODUCT(LEN(B21:H21)-LEN(SUBSTITUTE(B21:H21,"W","")))/SUMPRODUCT(LEN(B21:H21)),"0%")&amp;")")</f>
        <v>2 (50%)</v>
      </c>
      <c r="J21" s="12" t="s">
        <v>148</v>
      </c>
      <c r="K21" s="5" t="s">
        <v>89</v>
      </c>
    </row>
    <row r="22" spans="1:11" x14ac:dyDescent="0.6">
      <c r="A22" s="26" t="s">
        <v>3</v>
      </c>
      <c r="B22" s="12"/>
      <c r="C22" s="12"/>
      <c r="D22" s="12"/>
      <c r="E22" s="12"/>
      <c r="F22" s="12"/>
      <c r="G22" s="12" t="s">
        <v>48</v>
      </c>
      <c r="H22" s="12"/>
      <c r="I22" s="20" t="str" cm="1">
        <f t="array" ref="I22">IF(COUNTA(B22:H22)=0,"0 (0%)",SUMPRODUCT(LEN(B22:H22))&amp;" ("&amp;TEXT(SUMPRODUCT(LEN(B22:H22)-LEN(SUBSTITUTE(B22:H22,"W","")))/SUMPRODUCT(LEN(B22:H22)),"0%")&amp;")")</f>
        <v>1 (0%)</v>
      </c>
      <c r="J22" s="12" t="s">
        <v>155</v>
      </c>
      <c r="K22" s="5" t="s">
        <v>124</v>
      </c>
    </row>
    <row r="23" spans="1:11" x14ac:dyDescent="0.6">
      <c r="A23" s="26" t="s">
        <v>0</v>
      </c>
      <c r="B23" s="5"/>
      <c r="C23" s="5"/>
      <c r="D23" s="5"/>
      <c r="E23" s="5"/>
      <c r="F23" s="5"/>
      <c r="G23" s="5"/>
      <c r="H23" s="5"/>
      <c r="I23" s="20" t="str" cm="1">
        <f t="array" ref="I23">IF(COUNTA(B23:H23)=0,"0 (0%)",SUMPRODUCT(LEN(B23:H23))&amp;" ("&amp;TEXT(SUMPRODUCT(LEN(B23:H23)-LEN(SUBSTITUTE(B23:H23,"W","")))/SUMPRODUCT(LEN(B23:H23)),"0%")&amp;")")</f>
        <v>0 (0%)</v>
      </c>
      <c r="J23" s="20"/>
      <c r="K23" s="5" t="s">
        <v>123</v>
      </c>
    </row>
    <row r="24" spans="1:11" x14ac:dyDescent="0.6">
      <c r="A24" s="14" t="s">
        <v>50</v>
      </c>
      <c r="B24" s="3" t="str" cm="1">
        <f t="array" ref="B24">IF(COUNTA(B2:B23)=0,"0 (0%)",SUMPRODUCT(LEN(B2:B23))&amp;" ("&amp;TEXT(SUMPRODUCT(LEN(B2:B23)-LEN(SUBSTITUTE(B2:B23,"W","")))/SUMPRODUCT(LEN(B2:B23)),"0%")&amp;")")</f>
        <v>12 (25%)</v>
      </c>
      <c r="C24" s="7" t="str" cm="1">
        <f t="array" ref="C24">IF(COUNTA(C2:C23)=0,"0 (0%)",SUMPRODUCT(LEN(C2:C23))&amp;" ("&amp;TEXT(SUMPRODUCT(LEN(C2:C23)-LEN(SUBSTITUTE(C2:C23,"W","")))/SUMPRODUCT(LEN(C2:C23)),"0%")&amp;")")</f>
        <v>11 (55%)</v>
      </c>
      <c r="D24" s="3" t="str" cm="1">
        <f t="array" ref="D24">IF(COUNTA(D2:D23)=0,"0 (0%)",SUMPRODUCT(LEN(D2:D23))&amp;" ("&amp;TEXT(SUMPRODUCT(LEN(D2:D23)-LEN(SUBSTITUTE(D2:D23,"W","")))/SUMPRODUCT(LEN(D2:D23)),"0%")&amp;")")</f>
        <v>12 (75%)</v>
      </c>
      <c r="E24" s="3" t="str" cm="1">
        <f t="array" ref="E24">IF(COUNTA(E2:E23)=0,"0 (0%)",SUMPRODUCT(LEN(E2:E23))&amp;" ("&amp;TEXT(SUMPRODUCT(LEN(E2:E23)-LEN(SUBSTITUTE(E2:E23,"W","")))/SUMPRODUCT(LEN(E2:E23)),"0%")&amp;")")</f>
        <v>12 (58%)</v>
      </c>
      <c r="F24" s="3" t="str" cm="1">
        <f t="array" ref="F24">IF(COUNTA(F2:F23)=0,"0 (0%)",SUMPRODUCT(LEN(F2:F23))&amp;" ("&amp;TEXT(SUMPRODUCT(LEN(F2:F23)-LEN(SUBSTITUTE(F2:F23,"W","")))/SUMPRODUCT(LEN(F2:F23)),"0%")&amp;")")</f>
        <v>12 (42%)</v>
      </c>
      <c r="G24" s="3" t="str" cm="1">
        <f t="array" ref="G24">IF(COUNTA(G2:G23)=0,"0 (0%)",SUMPRODUCT(LEN(G2:G23))&amp;" ("&amp;TEXT(SUMPRODUCT(LEN(G2:G23)-LEN(SUBSTITUTE(G2:G23,"W","")))/SUMPRODUCT(LEN(G2:G23)),"0%")&amp;")")</f>
        <v>12 (50%)</v>
      </c>
      <c r="H24" s="7" t="str" cm="1">
        <f t="array" ref="H24">IF(COUNTA(H2:H23)=0,"0 (0%)",SUMPRODUCT(LEN(H2:H23))&amp;" ("&amp;TEXT(SUMPRODUCT(LEN(H2:H23)-LEN(SUBSTITUTE(H2:H23,"W","")))/SUMPRODUCT(LEN(H2:H23)),"0%")&amp;")")</f>
        <v>11 (55%)</v>
      </c>
      <c r="I24" s="1" t="str" cm="1">
        <f t="array" ref="I24">IF(COUNTA(B2:H23)=0,"0 (0%)",SUMPRODUCT(LEN(B2:H23))&amp;" ("&amp;TEXT(SUMPRODUCT(LEN(B2:H23)-LEN(SUBSTITUTE(B2:H23,"W","")))/SUMPRODUCT(LEN(B2:H23)),"0%")&amp;")")</f>
        <v>82 (51%)</v>
      </c>
      <c r="J24" s="1" t="s">
        <v>132</v>
      </c>
      <c r="K24" s="1"/>
    </row>
  </sheetData>
  <sortState xmlns:xlrd2="http://schemas.microsoft.com/office/spreadsheetml/2017/richdata2" ref="A2:K23">
    <sortCondition sortBy="cellColor" ref="I2:I23" dxfId="29"/>
    <sortCondition sortBy="cellColor" ref="I2:I23" dxfId="28"/>
    <sortCondition sortBy="cellColor" ref="I2:I23" dxfId="27"/>
    <sortCondition sortBy="cellColor" ref="I2:I23" dxfId="26"/>
    <sortCondition descending="1" ref="I2:I23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5DD0-64FC-41A0-8E4D-4144955E1F08}">
  <dimension ref="A1:K26"/>
  <sheetViews>
    <sheetView zoomScale="75" workbookViewId="0">
      <selection activeCell="I30" sqref="I30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10.4375" customWidth="1"/>
    <col min="11" max="11" width="36" bestFit="1" customWidth="1"/>
  </cols>
  <sheetData>
    <row r="1" spans="1:11" x14ac:dyDescent="0.6">
      <c r="B1" s="13" t="s">
        <v>157</v>
      </c>
      <c r="C1" s="13" t="s">
        <v>158</v>
      </c>
      <c r="D1" s="13" t="s">
        <v>159</v>
      </c>
      <c r="E1" s="13" t="s">
        <v>160</v>
      </c>
      <c r="F1" s="13" t="s">
        <v>171</v>
      </c>
      <c r="G1" s="13" t="s">
        <v>172</v>
      </c>
      <c r="H1" s="13" t="s">
        <v>173</v>
      </c>
      <c r="I1" s="1" t="s">
        <v>50</v>
      </c>
      <c r="J1" s="1" t="s">
        <v>130</v>
      </c>
      <c r="K1" s="1" t="s">
        <v>20</v>
      </c>
    </row>
    <row r="2" spans="1:11" x14ac:dyDescent="0.6">
      <c r="A2" s="23" t="s">
        <v>221</v>
      </c>
      <c r="B2" s="3" t="s">
        <v>47</v>
      </c>
      <c r="C2" s="3" t="s">
        <v>47</v>
      </c>
      <c r="D2" s="3" t="s">
        <v>47</v>
      </c>
      <c r="E2" s="3" t="s">
        <v>47</v>
      </c>
      <c r="F2" s="3" t="s">
        <v>47</v>
      </c>
      <c r="G2" s="3" t="s">
        <v>47</v>
      </c>
      <c r="H2" s="3" t="s">
        <v>47</v>
      </c>
      <c r="I2" s="17" t="str" cm="1">
        <f t="array" ref="I2">IF(COUNTA(B2:H2)=0,"0 (0%)",SUMPRODUCT(LEN(B2:H2))&amp;" ("&amp;TEXT(SUMPRODUCT(LEN(B2:H2)-LEN(SUBSTITUTE(B2:H2,"W","")))/SUMPRODUCT(LEN(B2:H2)),"0%")&amp;")")</f>
        <v>7 (100%)</v>
      </c>
      <c r="J2" s="21" t="s">
        <v>146</v>
      </c>
      <c r="K2" s="3" t="s">
        <v>43</v>
      </c>
    </row>
    <row r="3" spans="1:11" x14ac:dyDescent="0.6">
      <c r="A3" s="23" t="s">
        <v>38</v>
      </c>
      <c r="B3" s="3" t="s">
        <v>47</v>
      </c>
      <c r="C3" s="3" t="s">
        <v>47</v>
      </c>
      <c r="D3" s="3"/>
      <c r="E3" s="3" t="s">
        <v>48</v>
      </c>
      <c r="F3" s="3" t="s">
        <v>48</v>
      </c>
      <c r="G3" s="3" t="s">
        <v>47</v>
      </c>
      <c r="H3" s="3" t="s">
        <v>47</v>
      </c>
      <c r="I3" s="17" t="str" cm="1">
        <f t="array" ref="I3">IF(COUNTA(B3:H3)=0,"0 (0%)",SUMPRODUCT(LEN(B3:H3))&amp;" ("&amp;TEXT(SUMPRODUCT(LEN(B3:H3)-LEN(SUBSTITUTE(B3:H3,"W","")))/SUMPRODUCT(LEN(B3:H3)),"0%")&amp;")")</f>
        <v>6 (67%)</v>
      </c>
      <c r="J3" s="21" t="s">
        <v>162</v>
      </c>
      <c r="K3" s="3"/>
    </row>
    <row r="4" spans="1:11" x14ac:dyDescent="0.6">
      <c r="A4" s="23" t="s">
        <v>5</v>
      </c>
      <c r="B4" s="3" t="s">
        <v>75</v>
      </c>
      <c r="C4" s="3" t="s">
        <v>75</v>
      </c>
      <c r="D4" s="3" t="s">
        <v>48</v>
      </c>
      <c r="E4" s="3" t="s">
        <v>47</v>
      </c>
      <c r="F4" s="3"/>
      <c r="G4" s="3"/>
      <c r="H4" s="3"/>
      <c r="I4" s="17" t="str" cm="1">
        <f t="array" ref="I4">IF(COUNTA(B4:H4)=0,"0 (0%)",SUMPRODUCT(LEN(B4:H4))&amp;" ("&amp;TEXT(SUMPRODUCT(LEN(B4:H4)-LEN(SUBSTITUTE(B4:H4,"W","")))/SUMPRODUCT(LEN(B4:H4)),"0%")&amp;")")</f>
        <v>6 (50%)</v>
      </c>
      <c r="J4" s="21" t="s">
        <v>149</v>
      </c>
      <c r="K4" s="3"/>
    </row>
    <row r="5" spans="1:11" x14ac:dyDescent="0.6">
      <c r="A5" s="23" t="s">
        <v>223</v>
      </c>
      <c r="B5" s="3" t="s">
        <v>48</v>
      </c>
      <c r="C5" s="3"/>
      <c r="D5" s="3" t="s">
        <v>47</v>
      </c>
      <c r="E5" s="3" t="s">
        <v>47</v>
      </c>
      <c r="F5" s="3" t="s">
        <v>48</v>
      </c>
      <c r="G5" s="3" t="s">
        <v>48</v>
      </c>
      <c r="H5" s="3" t="s">
        <v>47</v>
      </c>
      <c r="I5" s="17" t="str" cm="1">
        <f t="array" ref="I5">IF(COUNTA(B5:H5)=0,"0 (0%)",SUMPRODUCT(LEN(B5:H5))&amp;" ("&amp;TEXT(SUMPRODUCT(LEN(B5:H5)-LEN(SUBSTITUTE(B5:H5,"W","")))/SUMPRODUCT(LEN(B5:H5)),"0%")&amp;")")</f>
        <v>6 (50%)</v>
      </c>
      <c r="J5" s="21" t="s">
        <v>161</v>
      </c>
      <c r="K5" s="3" t="s">
        <v>44</v>
      </c>
    </row>
    <row r="6" spans="1:11" x14ac:dyDescent="0.6">
      <c r="A6" s="23" t="s">
        <v>121</v>
      </c>
      <c r="B6" s="3"/>
      <c r="C6" s="3" t="s">
        <v>47</v>
      </c>
      <c r="D6" s="3" t="s">
        <v>47</v>
      </c>
      <c r="E6" s="3" t="s">
        <v>47</v>
      </c>
      <c r="F6" s="3" t="s">
        <v>48</v>
      </c>
      <c r="G6" s="3"/>
      <c r="H6" s="3" t="s">
        <v>48</v>
      </c>
      <c r="I6" s="17" t="str" cm="1">
        <f t="array" ref="I6">IF(COUNTA(B6:H6)=0,"0 (0%)",SUMPRODUCT(LEN(B6:H6))&amp;" ("&amp;TEXT(SUMPRODUCT(LEN(B6:H6)-LEN(SUBSTITUTE(B6:H6,"W","")))/SUMPRODUCT(LEN(B6:H6)),"0%")&amp;")")</f>
        <v>5 (60%)</v>
      </c>
      <c r="J6" s="21" t="s">
        <v>163</v>
      </c>
      <c r="K6" s="3"/>
    </row>
    <row r="7" spans="1:11" x14ac:dyDescent="0.6">
      <c r="A7" s="23" t="s">
        <v>226</v>
      </c>
      <c r="B7" s="3"/>
      <c r="C7" s="3"/>
      <c r="D7" s="3" t="s">
        <v>48</v>
      </c>
      <c r="E7" s="3" t="s">
        <v>47</v>
      </c>
      <c r="F7" s="3" t="s">
        <v>47</v>
      </c>
      <c r="G7" s="3" t="s">
        <v>48</v>
      </c>
      <c r="H7" s="3" t="s">
        <v>48</v>
      </c>
      <c r="I7" s="17" t="str" cm="1">
        <f t="array" ref="I7">IF(COUNTA(B7:H7)=0,"0 (0%)",SUMPRODUCT(LEN(B7:H7))&amp;" ("&amp;TEXT(SUMPRODUCT(LEN(B7:H7)-LEN(SUBSTITUTE(B7:H7,"W","")))/SUMPRODUCT(LEN(B7:H7)),"0%")&amp;")")</f>
        <v>5 (40%)</v>
      </c>
      <c r="J7" s="21" t="s">
        <v>164</v>
      </c>
      <c r="K7" s="3"/>
    </row>
    <row r="8" spans="1:11" x14ac:dyDescent="0.6">
      <c r="A8" s="23" t="s">
        <v>141</v>
      </c>
      <c r="B8" s="3" t="s">
        <v>48</v>
      </c>
      <c r="C8" s="3"/>
      <c r="D8" s="3" t="s">
        <v>47</v>
      </c>
      <c r="E8" s="3" t="s">
        <v>47</v>
      </c>
      <c r="F8" s="3" t="s">
        <v>48</v>
      </c>
      <c r="G8" s="3"/>
      <c r="H8" s="3" t="s">
        <v>48</v>
      </c>
      <c r="I8" s="17" t="str" cm="1">
        <f t="array" ref="I8">IF(COUNTA(B8:H8)=0,"0 (0%)",SUMPRODUCT(LEN(B8:H8))&amp;" ("&amp;TEXT(SUMPRODUCT(LEN(B8:H8)-LEN(SUBSTITUTE(B8:H8,"W","")))/SUMPRODUCT(LEN(B8:H8)),"0%")&amp;")")</f>
        <v>5 (40%)</v>
      </c>
      <c r="J8" s="3" t="s">
        <v>153</v>
      </c>
      <c r="K8" s="3"/>
    </row>
    <row r="9" spans="1:11" x14ac:dyDescent="0.6">
      <c r="A9" s="23" t="s">
        <v>55</v>
      </c>
      <c r="B9" s="3" t="s">
        <v>48</v>
      </c>
      <c r="C9" s="3" t="s">
        <v>48</v>
      </c>
      <c r="D9" s="3" t="s">
        <v>48</v>
      </c>
      <c r="E9" s="3"/>
      <c r="F9" s="3" t="s">
        <v>48</v>
      </c>
      <c r="G9" s="3" t="s">
        <v>48</v>
      </c>
      <c r="H9" s="3"/>
      <c r="I9" s="17" t="str" cm="1">
        <f t="array" ref="I9">IF(COUNTA(B9:H9)=0,"0 (0%)",SUMPRODUCT(LEN(B9:H9))&amp;" ("&amp;TEXT(SUMPRODUCT(LEN(B9:H9)-LEN(SUBSTITUTE(B9:H9,"W","")))/SUMPRODUCT(LEN(B9:H9)),"0%")&amp;")")</f>
        <v>5 (0%)</v>
      </c>
      <c r="J9" s="21" t="s">
        <v>146</v>
      </c>
      <c r="K9" s="3"/>
    </row>
    <row r="10" spans="1:11" x14ac:dyDescent="0.6">
      <c r="A10" s="25" t="s">
        <v>12</v>
      </c>
      <c r="B10" s="7"/>
      <c r="C10" s="7" t="s">
        <v>47</v>
      </c>
      <c r="D10" s="7" t="s">
        <v>48</v>
      </c>
      <c r="E10" s="7" t="s">
        <v>47</v>
      </c>
      <c r="F10" s="7"/>
      <c r="G10" s="7" t="s">
        <v>47</v>
      </c>
      <c r="H10" s="7"/>
      <c r="I10" s="18" t="str" cm="1">
        <f t="array" ref="I10">IF(COUNTA(B10:H10)=0,"0 (0%)",SUMPRODUCT(LEN(B10:H10))&amp;" ("&amp;TEXT(SUMPRODUCT(LEN(B10:H10)-LEN(SUBSTITUTE(B10:H10,"W","")))/SUMPRODUCT(LEN(B10:H10)),"0%")&amp;")")</f>
        <v>4 (75%)</v>
      </c>
      <c r="J10" s="16" t="s">
        <v>146</v>
      </c>
      <c r="K10" s="7"/>
    </row>
    <row r="11" spans="1:11" x14ac:dyDescent="0.6">
      <c r="A11" s="25" t="s">
        <v>9</v>
      </c>
      <c r="B11" s="7"/>
      <c r="C11" s="7" t="s">
        <v>47</v>
      </c>
      <c r="D11" s="7"/>
      <c r="E11" s="7" t="s">
        <v>47</v>
      </c>
      <c r="F11" s="7" t="s">
        <v>47</v>
      </c>
      <c r="G11" s="7"/>
      <c r="H11" s="7" t="s">
        <v>48</v>
      </c>
      <c r="I11" s="18" t="str" cm="1">
        <f t="array" ref="I11">IF(COUNTA(B11:H11)=0,"0 (0%)",SUMPRODUCT(LEN(B11:H11))&amp;" ("&amp;TEXT(SUMPRODUCT(LEN(B11:H11)-LEN(SUBSTITUTE(B11:H11,"W","")))/SUMPRODUCT(LEN(B11:H11)),"0%")&amp;")")</f>
        <v>4 (75%)</v>
      </c>
      <c r="J11" s="16" t="s">
        <v>164</v>
      </c>
      <c r="K11" s="7"/>
    </row>
    <row r="12" spans="1:11" x14ac:dyDescent="0.6">
      <c r="A12" s="25" t="s">
        <v>109</v>
      </c>
      <c r="B12" s="7"/>
      <c r="C12" s="7"/>
      <c r="D12" s="7"/>
      <c r="E12" s="7" t="s">
        <v>48</v>
      </c>
      <c r="F12" s="7" t="s">
        <v>47</v>
      </c>
      <c r="G12" s="7" t="s">
        <v>47</v>
      </c>
      <c r="H12" s="7" t="s">
        <v>47</v>
      </c>
      <c r="I12" s="18" t="str" cm="1">
        <f t="array" ref="I12">IF(COUNTA(B12:H12)=0,"0 (0%)",SUMPRODUCT(LEN(B12:H12))&amp;" ("&amp;TEXT(SUMPRODUCT(LEN(B12:H12)-LEN(SUBSTITUTE(B12:H12,"W","")))/SUMPRODUCT(LEN(B12:H12)),"0%")&amp;")")</f>
        <v>4 (75%)</v>
      </c>
      <c r="J12" s="16" t="s">
        <v>168</v>
      </c>
      <c r="K12" s="7"/>
    </row>
    <row r="13" spans="1:11" x14ac:dyDescent="0.6">
      <c r="A13" s="25" t="s">
        <v>19</v>
      </c>
      <c r="B13" s="7" t="s">
        <v>48</v>
      </c>
      <c r="C13" s="7"/>
      <c r="D13" s="7" t="s">
        <v>48</v>
      </c>
      <c r="E13" s="7"/>
      <c r="F13" s="7"/>
      <c r="G13" s="7" t="s">
        <v>48</v>
      </c>
      <c r="H13" s="7" t="s">
        <v>48</v>
      </c>
      <c r="I13" s="18" t="str" cm="1">
        <f t="array" ref="I13">IF(COUNTA(B13:H13)=0,"0 (0%)",SUMPRODUCT(LEN(B13:H13))&amp;" ("&amp;TEXT(SUMPRODUCT(LEN(B13:H13)-LEN(SUBSTITUTE(B13:H13,"W","")))/SUMPRODUCT(LEN(B13:H13)),"0%")&amp;")")</f>
        <v>4 (0%)</v>
      </c>
      <c r="J13" s="16" t="s">
        <v>149</v>
      </c>
      <c r="K13" s="10" t="s">
        <v>169</v>
      </c>
    </row>
    <row r="14" spans="1:11" x14ac:dyDescent="0.6">
      <c r="A14" s="25" t="s">
        <v>222</v>
      </c>
      <c r="B14" s="16"/>
      <c r="C14" s="16"/>
      <c r="D14" s="16" t="s">
        <v>47</v>
      </c>
      <c r="E14" s="16"/>
      <c r="F14" s="16"/>
      <c r="G14" s="16"/>
      <c r="H14" s="16"/>
      <c r="I14" s="18" t="str" cm="1">
        <f t="array" ref="I14">IF(COUNTA(B14:H14)=0,"0 (0%)",SUMPRODUCT(LEN(B14:H14))&amp;" ("&amp;TEXT(SUMPRODUCT(LEN(B14:H14)-LEN(SUBSTITUTE(B14:H14,"W","")))/SUMPRODUCT(LEN(B14:H14)),"0%")&amp;")")</f>
        <v>1 (100%)</v>
      </c>
      <c r="J14" s="16" t="s">
        <v>166</v>
      </c>
      <c r="K14" s="16"/>
    </row>
    <row r="15" spans="1:11" x14ac:dyDescent="0.6">
      <c r="A15" s="25" t="s">
        <v>32</v>
      </c>
      <c r="B15" s="7"/>
      <c r="C15" s="7" t="s">
        <v>48</v>
      </c>
      <c r="D15" s="7"/>
      <c r="E15" s="7"/>
      <c r="F15" s="7"/>
      <c r="G15" s="7"/>
      <c r="H15" s="7"/>
      <c r="I15" s="18" t="str" cm="1">
        <f t="array" ref="I15">IF(COUNTA(B15:H15)=0,"0 (0%)",SUMPRODUCT(LEN(B15:H15))&amp;" ("&amp;TEXT(SUMPRODUCT(LEN(B15:H15)-LEN(SUBSTITUTE(B15:H15,"W","")))/SUMPRODUCT(LEN(B15:H15)),"0%")&amp;")")</f>
        <v>1 (0%)</v>
      </c>
      <c r="J15" s="16" t="s">
        <v>167</v>
      </c>
      <c r="K15" s="7"/>
    </row>
    <row r="16" spans="1:11" x14ac:dyDescent="0.6">
      <c r="A16" s="25" t="s">
        <v>40</v>
      </c>
      <c r="B16" s="16"/>
      <c r="C16" s="16"/>
      <c r="D16" s="16"/>
      <c r="E16" s="16"/>
      <c r="F16" s="16"/>
      <c r="G16" s="16"/>
      <c r="H16" s="16"/>
      <c r="I16" s="18" t="str" cm="1">
        <f t="array" ref="I16">IF(COUNTA(B16:H16)=0,"0 (0%)",SUMPRODUCT(LEN(B16:H16))&amp;" ("&amp;TEXT(SUMPRODUCT(LEN(B16:H16)-LEN(SUBSTITUTE(B16:H16,"W","")))/SUMPRODUCT(LEN(B16:H16)),"0%")&amp;")")</f>
        <v>0 (0%)</v>
      </c>
      <c r="J16" s="16" t="s">
        <v>166</v>
      </c>
      <c r="K16" s="16" t="s">
        <v>21</v>
      </c>
    </row>
    <row r="17" spans="1:11" x14ac:dyDescent="0.6">
      <c r="A17" s="24" t="s">
        <v>7</v>
      </c>
      <c r="B17" s="9"/>
      <c r="C17" s="9" t="s">
        <v>47</v>
      </c>
      <c r="D17" s="9"/>
      <c r="E17" s="9" t="s">
        <v>48</v>
      </c>
      <c r="F17" s="9"/>
      <c r="G17" s="9" t="s">
        <v>48</v>
      </c>
      <c r="H17" s="9"/>
      <c r="I17" s="19" t="str" cm="1">
        <f t="array" ref="I17">IF(COUNTA(B17:H17)=0,"0 (0%)",SUMPRODUCT(LEN(B17:H17))&amp;" ("&amp;TEXT(SUMPRODUCT(LEN(B17:H17)-LEN(SUBSTITUTE(B17:H17,"W","")))/SUMPRODUCT(LEN(B17:H17)),"0%")&amp;")")</f>
        <v>3 (33%)</v>
      </c>
      <c r="J17" s="22" t="s">
        <v>152</v>
      </c>
      <c r="K17" s="27" t="s">
        <v>69</v>
      </c>
    </row>
    <row r="18" spans="1:11" x14ac:dyDescent="0.6">
      <c r="A18" s="24" t="s">
        <v>33</v>
      </c>
      <c r="B18" s="9"/>
      <c r="C18" s="9"/>
      <c r="D18" s="9"/>
      <c r="E18" s="9"/>
      <c r="F18" s="9" t="s">
        <v>47</v>
      </c>
      <c r="G18" s="9" t="s">
        <v>47</v>
      </c>
      <c r="H18" s="9" t="s">
        <v>47</v>
      </c>
      <c r="I18" s="19" t="str" cm="1">
        <f t="array" ref="I18">IF(COUNTA(B18:H18)=0,"0 (0%)",SUMPRODUCT(LEN(B18:H18))&amp;" ("&amp;TEXT(SUMPRODUCT(LEN(B18:H18)-LEN(SUBSTITUTE(B18:H18,"W","")))/SUMPRODUCT(LEN(B18:H18)),"0%")&amp;")")</f>
        <v>3 (100%)</v>
      </c>
      <c r="J18" s="22" t="s">
        <v>165</v>
      </c>
      <c r="K18" s="9" t="s">
        <v>41</v>
      </c>
    </row>
    <row r="19" spans="1:11" x14ac:dyDescent="0.6">
      <c r="A19" s="24" t="s">
        <v>18</v>
      </c>
      <c r="B19" s="9"/>
      <c r="C19" s="9"/>
      <c r="D19" s="9"/>
      <c r="E19" s="9"/>
      <c r="F19" s="9"/>
      <c r="G19" s="9" t="s">
        <v>48</v>
      </c>
      <c r="H19" s="9" t="s">
        <v>47</v>
      </c>
      <c r="I19" s="19" t="str" cm="1">
        <f t="array" ref="I19">IF(COUNTA(B19:H19)=0,"0 (0%)",SUMPRODUCT(LEN(B19:H19))&amp;" ("&amp;TEXT(SUMPRODUCT(LEN(B19:H19)-LEN(SUBSTITUTE(B19:H19,"W","")))/SUMPRODUCT(LEN(B19:H19)),"0%")&amp;")")</f>
        <v>2 (50%)</v>
      </c>
      <c r="J19" s="22" t="s">
        <v>166</v>
      </c>
      <c r="K19" s="9" t="s">
        <v>104</v>
      </c>
    </row>
    <row r="20" spans="1:11" x14ac:dyDescent="0.6">
      <c r="A20" s="26" t="s">
        <v>2</v>
      </c>
      <c r="B20" s="5" t="s">
        <v>47</v>
      </c>
      <c r="C20" s="5" t="s">
        <v>48</v>
      </c>
      <c r="D20" s="5" t="s">
        <v>47</v>
      </c>
      <c r="E20" s="5" t="s">
        <v>48</v>
      </c>
      <c r="F20" s="5" t="s">
        <v>48</v>
      </c>
      <c r="G20" s="5" t="s">
        <v>48</v>
      </c>
      <c r="H20" s="5" t="s">
        <v>47</v>
      </c>
      <c r="I20" s="20" t="str" cm="1">
        <f t="array" ref="I20">IF(COUNTA(B20:H20)=0,"0 (0%)",SUMPRODUCT(LEN(B20:H20))&amp;" ("&amp;TEXT(SUMPRODUCT(LEN(B20:H20)-LEN(SUBSTITUTE(B20:H20,"W","")))/SUMPRODUCT(LEN(B20:H20)),"0%")&amp;")")</f>
        <v>7 (43%)</v>
      </c>
      <c r="J20" s="12" t="s">
        <v>211</v>
      </c>
      <c r="K20" s="5" t="s">
        <v>125</v>
      </c>
    </row>
    <row r="21" spans="1:11" x14ac:dyDescent="0.6">
      <c r="A21" s="26" t="s">
        <v>3</v>
      </c>
      <c r="B21" s="12"/>
      <c r="C21" s="12" t="s">
        <v>48</v>
      </c>
      <c r="D21" s="12" t="s">
        <v>47</v>
      </c>
      <c r="E21" s="12"/>
      <c r="F21" s="12"/>
      <c r="G21" s="12"/>
      <c r="H21" s="12"/>
      <c r="I21" s="20" t="str" cm="1">
        <f t="array" ref="I21">IF(COUNTA(B21:H21)=0,"0 (0%)",SUMPRODUCT(LEN(B21:H21))&amp;" ("&amp;TEXT(SUMPRODUCT(LEN(B21:H21)-LEN(SUBSTITUTE(B21:H21,"W","")))/SUMPRODUCT(LEN(B21:H21)),"0%")&amp;")")</f>
        <v>2 (50%)</v>
      </c>
      <c r="J21" s="12" t="s">
        <v>168</v>
      </c>
      <c r="K21" s="5" t="s">
        <v>124</v>
      </c>
    </row>
    <row r="22" spans="1:11" x14ac:dyDescent="0.6">
      <c r="A22" s="26" t="s">
        <v>85</v>
      </c>
      <c r="B22" s="5" t="s">
        <v>47</v>
      </c>
      <c r="C22" s="5"/>
      <c r="D22" s="5"/>
      <c r="E22" s="5"/>
      <c r="F22" s="5" t="s">
        <v>47</v>
      </c>
      <c r="G22" s="5"/>
      <c r="H22" s="5"/>
      <c r="I22" s="20" t="str" cm="1">
        <f t="array" ref="I22">IF(COUNTA(B22:H22)=0,"0 (0%)",SUMPRODUCT(LEN(B22:H22))&amp;" ("&amp;TEXT(SUMPRODUCT(LEN(B22:H22)-LEN(SUBSTITUTE(B22:H22,"W","")))/SUMPRODUCT(LEN(B22:H22)),"0%")&amp;")")</f>
        <v>2 (100%)</v>
      </c>
      <c r="J22" s="12" t="s">
        <v>155</v>
      </c>
      <c r="K22" s="5" t="s">
        <v>89</v>
      </c>
    </row>
    <row r="23" spans="1:11" x14ac:dyDescent="0.6">
      <c r="A23" s="26" t="s">
        <v>140</v>
      </c>
      <c r="B23" s="5" t="s">
        <v>47</v>
      </c>
      <c r="C23" s="5"/>
      <c r="D23" s="5"/>
      <c r="E23" s="5"/>
      <c r="F23" s="5"/>
      <c r="G23" s="5"/>
      <c r="H23" s="5"/>
      <c r="I23" s="20" t="str" cm="1">
        <f t="array" ref="I23">IF(COUNTA(B23:H23)=0,"0 (0%)",SUMPRODUCT(LEN(B23:H23))&amp;" ("&amp;TEXT(SUMPRODUCT(LEN(B23:H23)-LEN(SUBSTITUTE(B23:H23,"W","")))/SUMPRODUCT(LEN(B23:H23)),"0%")&amp;")")</f>
        <v>1 (100%)</v>
      </c>
      <c r="J23" s="12" t="s">
        <v>162</v>
      </c>
      <c r="K23" s="5" t="s">
        <v>89</v>
      </c>
    </row>
    <row r="24" spans="1:11" x14ac:dyDescent="0.6">
      <c r="A24" s="26" t="s">
        <v>84</v>
      </c>
      <c r="B24" s="5" t="s">
        <v>48</v>
      </c>
      <c r="C24" s="5"/>
      <c r="D24" s="5"/>
      <c r="E24" s="5"/>
      <c r="F24" s="5"/>
      <c r="G24" s="5"/>
      <c r="H24" s="5"/>
      <c r="I24" s="20" t="str" cm="1">
        <f t="array" ref="I24">IF(COUNTA(B24:H24)=0,"0 (0%)",SUMPRODUCT(LEN(B24:H24))&amp;" ("&amp;TEXT(SUMPRODUCT(LEN(B24:H24)-LEN(SUBSTITUTE(B24:H24,"W","")))/SUMPRODUCT(LEN(B24:H24)),"0%")&amp;")")</f>
        <v>1 (0%)</v>
      </c>
      <c r="J24" s="12" t="s">
        <v>166</v>
      </c>
      <c r="K24" s="5" t="s">
        <v>170</v>
      </c>
    </row>
    <row r="25" spans="1:11" x14ac:dyDescent="0.6">
      <c r="A25" s="26" t="s">
        <v>0</v>
      </c>
      <c r="B25" s="5"/>
      <c r="C25" s="5"/>
      <c r="D25" s="5"/>
      <c r="E25" s="5"/>
      <c r="F25" s="5"/>
      <c r="G25" s="5"/>
      <c r="H25" s="5"/>
      <c r="I25" s="20" t="str" cm="1">
        <f t="array" ref="I25">IF(COUNTA(B25:H25)=0,"0 (0%)",SUMPRODUCT(LEN(B25:H25))&amp;" ("&amp;TEXT(SUMPRODUCT(LEN(B25:H25)-LEN(SUBSTITUTE(B25:H25,"W","")))/SUMPRODUCT(LEN(B25:H25)),"0%")&amp;")")</f>
        <v>0 (0%)</v>
      </c>
      <c r="J25" s="12" t="s">
        <v>166</v>
      </c>
      <c r="K25" s="5" t="s">
        <v>123</v>
      </c>
    </row>
    <row r="26" spans="1:11" x14ac:dyDescent="0.6">
      <c r="A26" s="14" t="s">
        <v>50</v>
      </c>
      <c r="B26" s="3" t="str" cm="1">
        <f t="array" ref="B26">IF(COUNTA(B2:B25)=0,"0 (0%)",SUMPRODUCT(LEN(B2:B25))&amp;" ("&amp;TEXT(SUMPRODUCT(LEN(B2:B25)-LEN(SUBSTITUTE(B2:B25,"W","")))/SUMPRODUCT(LEN(B2:B25)),"0%")&amp;")")</f>
        <v>12 (50%)</v>
      </c>
      <c r="C26" s="3" t="str" cm="1">
        <f t="array" ref="C26">IF(COUNTA(C2:C25)=0,"0 (0%)",SUMPRODUCT(LEN(C2:C25))&amp;" ("&amp;TEXT(SUMPRODUCT(LEN(C2:C25)-LEN(SUBSTITUTE(C2:C25,"W","")))/SUMPRODUCT(LEN(C2:C25)),"0%")&amp;")")</f>
        <v>12 (58%)</v>
      </c>
      <c r="D26" s="3" t="str" cm="1">
        <f t="array" ref="D26">IF(COUNTA(D2:D25)=0,"0 (0%)",SUMPRODUCT(LEN(D2:D25))&amp;" ("&amp;TEXT(SUMPRODUCT(LEN(D2:D25)-LEN(SUBSTITUTE(D2:D25,"W","")))/SUMPRODUCT(LEN(D2:D25)),"0%")&amp;")")</f>
        <v>12 (58%)</v>
      </c>
      <c r="E26" s="3" t="str" cm="1">
        <f t="array" ref="E26">IF(COUNTA(E2:E25)=0,"0 (0%)",SUMPRODUCT(LEN(E2:E25))&amp;" ("&amp;TEXT(SUMPRODUCT(LEN(E2:E25)-LEN(SUBSTITUTE(E2:E25,"W","")))/SUMPRODUCT(LEN(E2:E25)),"0%")&amp;")")</f>
        <v>12 (67%)</v>
      </c>
      <c r="F26" s="3" t="str" cm="1">
        <f t="array" ref="F26">IF(COUNTA(F2:F25)=0,"0 (0%)",SUMPRODUCT(LEN(F2:F25))&amp;" ("&amp;TEXT(SUMPRODUCT(LEN(F2:F25)-LEN(SUBSTITUTE(F2:F25,"W","")))/SUMPRODUCT(LEN(F2:F25)),"0%")&amp;")")</f>
        <v>12 (50%)</v>
      </c>
      <c r="G26" s="3" t="str" cm="1">
        <f t="array" ref="G26">IF(COUNTA(G2:G25)=0,"0 (0%)",SUMPRODUCT(LEN(G2:G25))&amp;" ("&amp;TEXT(SUMPRODUCT(LEN(G2:G25)-LEN(SUBSTITUTE(G2:G25,"W","")))/SUMPRODUCT(LEN(G2:G25)),"0%")&amp;")")</f>
        <v>12 (42%)</v>
      </c>
      <c r="H26" s="3" t="str" cm="1">
        <f t="array" ref="H26">IF(COUNTA(H2:H25)=0,"0 (0%)",SUMPRODUCT(LEN(H2:H25))&amp;" ("&amp;TEXT(SUMPRODUCT(LEN(H2:H25)-LEN(SUBSTITUTE(H2:H25,"W","")))/SUMPRODUCT(LEN(H2:H25)),"0%")&amp;")")</f>
        <v>12 (58%)</v>
      </c>
      <c r="I26" s="1" t="str" cm="1">
        <f t="array" ref="I26">IF(COUNTA(B2:H25)=0,"0 (0%)",SUMPRODUCT(LEN(B2:H25))&amp;" ("&amp;TEXT(SUMPRODUCT(LEN(B2:H25)-LEN(SUBSTITUTE(B2:H25,"W","")))/SUMPRODUCT(LEN(B2:H25)),"0%")&amp;")")</f>
        <v>84 (55%)</v>
      </c>
      <c r="J26" s="1" t="s">
        <v>132</v>
      </c>
      <c r="K26" s="1"/>
    </row>
  </sheetData>
  <sortState xmlns:xlrd2="http://schemas.microsoft.com/office/spreadsheetml/2017/richdata2" ref="A2:K25">
    <sortCondition sortBy="cellColor" ref="I2:I25" dxfId="25"/>
    <sortCondition sortBy="cellColor" ref="I2:I25" dxfId="24"/>
    <sortCondition sortBy="cellColor" ref="I2:I25" dxfId="23"/>
    <sortCondition sortBy="cellColor" ref="I2:I25" dxfId="22"/>
    <sortCondition descending="1" ref="I2:I25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FEAA-D2B3-4E9E-A5FB-29F665AB4998}">
  <dimension ref="A1:K26"/>
  <sheetViews>
    <sheetView zoomScale="75" workbookViewId="0">
      <selection activeCell="A33" sqref="A33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10.4375" customWidth="1"/>
    <col min="11" max="11" width="36" bestFit="1" customWidth="1"/>
  </cols>
  <sheetData>
    <row r="1" spans="1:11" x14ac:dyDescent="0.6">
      <c r="B1" s="13" t="s">
        <v>174</v>
      </c>
      <c r="C1" s="13" t="s">
        <v>175</v>
      </c>
      <c r="D1" s="13" t="s">
        <v>176</v>
      </c>
      <c r="E1" s="13" t="s">
        <v>177</v>
      </c>
      <c r="F1" s="13" t="s">
        <v>178</v>
      </c>
      <c r="G1" s="10" t="s">
        <v>179</v>
      </c>
      <c r="H1" s="13" t="s">
        <v>180</v>
      </c>
      <c r="I1" s="1" t="s">
        <v>50</v>
      </c>
      <c r="J1" s="1" t="s">
        <v>130</v>
      </c>
      <c r="K1" s="1" t="s">
        <v>20</v>
      </c>
    </row>
    <row r="2" spans="1:11" x14ac:dyDescent="0.6">
      <c r="A2" s="23" t="s">
        <v>223</v>
      </c>
      <c r="B2" s="3" t="s">
        <v>48</v>
      </c>
      <c r="C2" s="3" t="s">
        <v>47</v>
      </c>
      <c r="D2" s="3" t="s">
        <v>47</v>
      </c>
      <c r="E2" s="3" t="s">
        <v>48</v>
      </c>
      <c r="F2" s="3" t="s">
        <v>48</v>
      </c>
      <c r="G2" s="3" t="s">
        <v>47</v>
      </c>
      <c r="H2" s="3" t="s">
        <v>48</v>
      </c>
      <c r="I2" s="17" t="str" cm="1">
        <f t="array" ref="I2">IF(COUNTA(B2:H2)=0,"0 (0%)",SUMPRODUCT(LEN(B2:H2))&amp;" ("&amp;TEXT(SUMPRODUCT(LEN(B2:H2)-LEN(SUBSTITUTE(B2:H2,"W","")))/SUMPRODUCT(LEN(B2:H2)),"0%")&amp;")")</f>
        <v>7 (43%)</v>
      </c>
      <c r="J2" s="21" t="s">
        <v>162</v>
      </c>
      <c r="K2" s="3" t="s">
        <v>44</v>
      </c>
    </row>
    <row r="3" spans="1:11" x14ac:dyDescent="0.6">
      <c r="A3" s="23" t="s">
        <v>55</v>
      </c>
      <c r="B3" s="3" t="s">
        <v>47</v>
      </c>
      <c r="C3" s="3" t="s">
        <v>47</v>
      </c>
      <c r="D3" s="3" t="s">
        <v>48</v>
      </c>
      <c r="E3" s="3" t="s">
        <v>47</v>
      </c>
      <c r="F3" s="3" t="s">
        <v>47</v>
      </c>
      <c r="G3" s="3" t="s">
        <v>48</v>
      </c>
      <c r="H3" s="3"/>
      <c r="I3" s="17" t="str" cm="1">
        <f t="array" ref="I3">IF(COUNTA(B3:H3)=0,"0 (0%)",SUMPRODUCT(LEN(B3:H3))&amp;" ("&amp;TEXT(SUMPRODUCT(LEN(B3:H3)-LEN(SUBSTITUTE(B3:H3,"W","")))/SUMPRODUCT(LEN(B3:H3)),"0%")&amp;")")</f>
        <v>6 (67%)</v>
      </c>
      <c r="J3" s="21" t="s">
        <v>181</v>
      </c>
      <c r="K3" s="3"/>
    </row>
    <row r="4" spans="1:11" x14ac:dyDescent="0.6">
      <c r="A4" s="23" t="s">
        <v>12</v>
      </c>
      <c r="B4" s="3"/>
      <c r="C4" s="3" t="s">
        <v>47</v>
      </c>
      <c r="D4" s="3" t="s">
        <v>47</v>
      </c>
      <c r="E4" s="3" t="s">
        <v>48</v>
      </c>
      <c r="F4" s="3" t="s">
        <v>48</v>
      </c>
      <c r="G4" s="3" t="s">
        <v>48</v>
      </c>
      <c r="H4" s="3" t="s">
        <v>48</v>
      </c>
      <c r="I4" s="17" t="str" cm="1">
        <f t="array" ref="I4">IF(COUNTA(B4:H4)=0,"0 (0%)",SUMPRODUCT(LEN(B4:H4))&amp;" ("&amp;TEXT(SUMPRODUCT(LEN(B4:H4)-LEN(SUBSTITUTE(B4:H4,"W","")))/SUMPRODUCT(LEN(B4:H4)),"0%")&amp;")")</f>
        <v>6 (33%)</v>
      </c>
      <c r="J4" s="21" t="s">
        <v>182</v>
      </c>
      <c r="K4" s="3"/>
    </row>
    <row r="5" spans="1:11" x14ac:dyDescent="0.6">
      <c r="A5" s="23" t="s">
        <v>5</v>
      </c>
      <c r="B5" s="3" t="s">
        <v>47</v>
      </c>
      <c r="C5" s="3" t="s">
        <v>48</v>
      </c>
      <c r="D5" s="3" t="s">
        <v>47</v>
      </c>
      <c r="E5" s="3" t="s">
        <v>47</v>
      </c>
      <c r="F5" s="3"/>
      <c r="G5" s="3" t="s">
        <v>47</v>
      </c>
      <c r="H5" s="3"/>
      <c r="I5" s="17" t="str" cm="1">
        <f t="array" ref="I5">IF(COUNTA(B5:H5)=0,"0 (0%)",SUMPRODUCT(LEN(B5:H5))&amp;" ("&amp;TEXT(SUMPRODUCT(LEN(B5:H5)-LEN(SUBSTITUTE(B5:H5,"W","")))/SUMPRODUCT(LEN(B5:H5)),"0%")&amp;")")</f>
        <v>5 (80%)</v>
      </c>
      <c r="J5" s="21" t="s">
        <v>162</v>
      </c>
      <c r="K5" s="3"/>
    </row>
    <row r="6" spans="1:11" x14ac:dyDescent="0.6">
      <c r="A6" s="23" t="s">
        <v>38</v>
      </c>
      <c r="B6" s="3" t="s">
        <v>48</v>
      </c>
      <c r="C6" s="3" t="s">
        <v>47</v>
      </c>
      <c r="D6" s="3" t="s">
        <v>47</v>
      </c>
      <c r="E6" s="3"/>
      <c r="F6" s="3"/>
      <c r="G6" s="3" t="s">
        <v>47</v>
      </c>
      <c r="H6" s="3" t="s">
        <v>48</v>
      </c>
      <c r="I6" s="17" t="str" cm="1">
        <f t="array" ref="I6">IF(COUNTA(B6:H6)=0,"0 (0%)",SUMPRODUCT(LEN(B6:H6))&amp;" ("&amp;TEXT(SUMPRODUCT(LEN(B6:H6)-LEN(SUBSTITUTE(B6:H6,"W","")))/SUMPRODUCT(LEN(B6:H6)),"0%")&amp;")")</f>
        <v>5 (60%)</v>
      </c>
      <c r="J6" s="21" t="s">
        <v>154</v>
      </c>
      <c r="K6" s="3"/>
    </row>
    <row r="7" spans="1:11" x14ac:dyDescent="0.6">
      <c r="A7" s="23" t="s">
        <v>121</v>
      </c>
      <c r="B7" s="3" t="s">
        <v>47</v>
      </c>
      <c r="C7" s="3" t="s">
        <v>48</v>
      </c>
      <c r="D7" s="3" t="s">
        <v>47</v>
      </c>
      <c r="E7" s="3" t="s">
        <v>48</v>
      </c>
      <c r="F7" s="3"/>
      <c r="G7" s="3" t="s">
        <v>48</v>
      </c>
      <c r="H7" s="3"/>
      <c r="I7" s="17" t="str" cm="1">
        <f t="array" ref="I7">IF(COUNTA(B7:H7)=0,"0 (0%)",SUMPRODUCT(LEN(B7:H7))&amp;" ("&amp;TEXT(SUMPRODUCT(LEN(B7:H7)-LEN(SUBSTITUTE(B7:H7,"W","")))/SUMPRODUCT(LEN(B7:H7)),"0%")&amp;")")</f>
        <v>5 (40%)</v>
      </c>
      <c r="J7" s="21" t="s">
        <v>164</v>
      </c>
      <c r="K7" s="3"/>
    </row>
    <row r="8" spans="1:11" x14ac:dyDescent="0.6">
      <c r="A8" s="23" t="s">
        <v>9</v>
      </c>
      <c r="B8" s="3" t="s">
        <v>48</v>
      </c>
      <c r="C8" s="3" t="s">
        <v>47</v>
      </c>
      <c r="D8" s="3" t="s">
        <v>48</v>
      </c>
      <c r="E8" s="3" t="s">
        <v>47</v>
      </c>
      <c r="F8" s="3"/>
      <c r="G8" s="3"/>
      <c r="H8" s="3" t="s">
        <v>48</v>
      </c>
      <c r="I8" s="17" t="str" cm="1">
        <f t="array" ref="I8">IF(COUNTA(B8:H8)=0,"0 (0%)",SUMPRODUCT(LEN(B8:H8))&amp;" ("&amp;TEXT(SUMPRODUCT(LEN(B8:H8)-LEN(SUBSTITUTE(B8:H8,"W","")))/SUMPRODUCT(LEN(B8:H8)),"0%")&amp;")")</f>
        <v>5 (40%)</v>
      </c>
      <c r="J8" s="21" t="s">
        <v>182</v>
      </c>
      <c r="K8" s="3"/>
    </row>
    <row r="9" spans="1:11" x14ac:dyDescent="0.6">
      <c r="A9" s="23" t="s">
        <v>109</v>
      </c>
      <c r="B9" s="3"/>
      <c r="C9" s="3" t="s">
        <v>47</v>
      </c>
      <c r="D9" s="3" t="s">
        <v>48</v>
      </c>
      <c r="E9" s="3"/>
      <c r="F9" s="3" t="s">
        <v>48</v>
      </c>
      <c r="G9" s="3" t="s">
        <v>48</v>
      </c>
      <c r="H9" s="3" t="s">
        <v>47</v>
      </c>
      <c r="I9" s="17" t="str" cm="1">
        <f t="array" ref="I9">IF(COUNTA(B9:H9)=0,"0 (0%)",SUMPRODUCT(LEN(B9:H9))&amp;" ("&amp;TEXT(SUMPRODUCT(LEN(B9:H9)-LEN(SUBSTITUTE(B9:H9,"W","")))/SUMPRODUCT(LEN(B9:H9)),"0%")&amp;")")</f>
        <v>5 (40%)</v>
      </c>
      <c r="J9" s="21" t="s">
        <v>182</v>
      </c>
      <c r="K9" s="3"/>
    </row>
    <row r="10" spans="1:11" x14ac:dyDescent="0.6">
      <c r="A10" s="23" t="s">
        <v>33</v>
      </c>
      <c r="B10" s="3" t="s">
        <v>48</v>
      </c>
      <c r="C10" s="3" t="s">
        <v>48</v>
      </c>
      <c r="D10" s="3"/>
      <c r="E10" s="3" t="s">
        <v>47</v>
      </c>
      <c r="F10" s="3" t="s">
        <v>48</v>
      </c>
      <c r="G10" s="3"/>
      <c r="H10" s="3" t="s">
        <v>48</v>
      </c>
      <c r="I10" s="17" t="str" cm="1">
        <f t="array" ref="I10">IF(COUNTA(B10:H10)=0,"0 (0%)",SUMPRODUCT(LEN(B10:H10))&amp;" ("&amp;TEXT(SUMPRODUCT(LEN(B10:H10)-LEN(SUBSTITUTE(B10:H10,"W","")))/SUMPRODUCT(LEN(B10:H10)),"0%")&amp;")")</f>
        <v>5 (20%)</v>
      </c>
      <c r="J10" s="21" t="s">
        <v>167</v>
      </c>
      <c r="K10" s="3" t="s">
        <v>41</v>
      </c>
    </row>
    <row r="11" spans="1:11" x14ac:dyDescent="0.6">
      <c r="A11" s="25" t="s">
        <v>141</v>
      </c>
      <c r="B11" s="7" t="s">
        <v>47</v>
      </c>
      <c r="C11" s="7"/>
      <c r="D11" s="7"/>
      <c r="E11" s="7"/>
      <c r="F11" s="7" t="s">
        <v>48</v>
      </c>
      <c r="G11" s="7"/>
      <c r="H11" s="7" t="s">
        <v>47</v>
      </c>
      <c r="I11" s="18" t="str" cm="1">
        <f t="array" ref="I11">IF(COUNTA(B11:H11)=0,"0 (0%)",SUMPRODUCT(LEN(B11:H11))&amp;" ("&amp;TEXT(SUMPRODUCT(LEN(B11:H11)-LEN(SUBSTITUTE(B11:H11,"W","")))/SUMPRODUCT(LEN(B11:H11)),"0%")&amp;")")</f>
        <v>3 (67%)</v>
      </c>
      <c r="J11" s="7" t="s">
        <v>146</v>
      </c>
      <c r="K11" s="7"/>
    </row>
    <row r="12" spans="1:11" x14ac:dyDescent="0.6">
      <c r="A12" s="25" t="s">
        <v>19</v>
      </c>
      <c r="B12" s="7"/>
      <c r="C12" s="7" t="s">
        <v>48</v>
      </c>
      <c r="D12" s="7"/>
      <c r="E12" s="7" t="s">
        <v>47</v>
      </c>
      <c r="F12" s="7" t="s">
        <v>47</v>
      </c>
      <c r="G12" s="7"/>
      <c r="H12" s="7"/>
      <c r="I12" s="18" t="str" cm="1">
        <f t="array" ref="I12">IF(COUNTA(B12:H12)=0,"0 (0%)",SUMPRODUCT(LEN(B12:H12))&amp;" ("&amp;TEXT(SUMPRODUCT(LEN(B12:H12)-LEN(SUBSTITUTE(B12:H12,"W","")))/SUMPRODUCT(LEN(B12:H12)),"0%")&amp;")")</f>
        <v>3 (67%)</v>
      </c>
      <c r="J12" s="16" t="s">
        <v>185</v>
      </c>
      <c r="K12" s="10" t="s">
        <v>169</v>
      </c>
    </row>
    <row r="13" spans="1:11" x14ac:dyDescent="0.6">
      <c r="A13" s="25" t="s">
        <v>226</v>
      </c>
      <c r="B13" s="7" t="s">
        <v>48</v>
      </c>
      <c r="C13" s="7"/>
      <c r="D13" s="7" t="s">
        <v>47</v>
      </c>
      <c r="E13" s="7"/>
      <c r="F13" s="7"/>
      <c r="G13" s="7"/>
      <c r="H13" s="7"/>
      <c r="I13" s="18" t="str" cm="1">
        <f t="array" ref="I13">IF(COUNTA(B13:H13)=0,"0 (0%)",SUMPRODUCT(LEN(B13:H13))&amp;" ("&amp;TEXT(SUMPRODUCT(LEN(B13:H13)-LEN(SUBSTITUTE(B13:H13,"W","")))/SUMPRODUCT(LEN(B13:H13)),"0%")&amp;")")</f>
        <v>2 (50%)</v>
      </c>
      <c r="J13" s="16" t="s">
        <v>146</v>
      </c>
      <c r="K13" s="7" t="s">
        <v>21</v>
      </c>
    </row>
    <row r="14" spans="1:11" x14ac:dyDescent="0.6">
      <c r="A14" s="25" t="s">
        <v>222</v>
      </c>
      <c r="B14" s="16" t="s">
        <v>48</v>
      </c>
      <c r="C14" s="16"/>
      <c r="D14" s="16"/>
      <c r="E14" s="16"/>
      <c r="F14" s="16" t="s">
        <v>47</v>
      </c>
      <c r="G14" s="16"/>
      <c r="H14" s="16"/>
      <c r="I14" s="18" t="str" cm="1">
        <f t="array" ref="I14">IF(COUNTA(B14:H14)=0,"0 (0%)",SUMPRODUCT(LEN(B14:H14))&amp;" ("&amp;TEXT(SUMPRODUCT(LEN(B14:H14)-LEN(SUBSTITUTE(B14:H14,"W","")))/SUMPRODUCT(LEN(B14:H14)),"0%")&amp;")")</f>
        <v>2 (50%)</v>
      </c>
      <c r="J14" s="16" t="s">
        <v>183</v>
      </c>
      <c r="K14" s="16" t="s">
        <v>188</v>
      </c>
    </row>
    <row r="15" spans="1:11" x14ac:dyDescent="0.6">
      <c r="A15" s="25" t="s">
        <v>32</v>
      </c>
      <c r="B15" s="7"/>
      <c r="C15" s="7"/>
      <c r="D15" s="7"/>
      <c r="E15" s="7"/>
      <c r="F15" s="7"/>
      <c r="G15" s="7" t="s">
        <v>48</v>
      </c>
      <c r="H15" s="7" t="s">
        <v>48</v>
      </c>
      <c r="I15" s="18" t="str" cm="1">
        <f t="array" ref="I15">IF(COUNTA(B15:H15)=0,"0 (0%)",SUMPRODUCT(LEN(B15:H15))&amp;" ("&amp;TEXT(SUMPRODUCT(LEN(B15:H15)-LEN(SUBSTITUTE(B15:H15,"W","")))/SUMPRODUCT(LEN(B15:H15)),"0%")&amp;")")</f>
        <v>2 (0%)</v>
      </c>
      <c r="J15" s="16" t="s">
        <v>168</v>
      </c>
      <c r="K15" s="7"/>
    </row>
    <row r="16" spans="1:11" x14ac:dyDescent="0.6">
      <c r="A16" s="24" t="s">
        <v>7</v>
      </c>
      <c r="B16" s="9" t="s">
        <v>47</v>
      </c>
      <c r="C16" s="9"/>
      <c r="D16" s="9" t="s">
        <v>48</v>
      </c>
      <c r="E16" s="9"/>
      <c r="F16" s="9" t="s">
        <v>48</v>
      </c>
      <c r="G16" s="9"/>
      <c r="H16" s="9" t="s">
        <v>47</v>
      </c>
      <c r="I16" s="19" t="str" cm="1">
        <f t="array" ref="I16">IF(COUNTA(B16:H16)=0,"0 (0%)",SUMPRODUCT(LEN(B16:H16))&amp;" ("&amp;TEXT(SUMPRODUCT(LEN(B16:H16)-LEN(SUBSTITUTE(B16:H16,"W","")))/SUMPRODUCT(LEN(B16:H16)),"0%")&amp;")")</f>
        <v>4 (50%)</v>
      </c>
      <c r="J16" s="22" t="s">
        <v>148</v>
      </c>
      <c r="K16" s="27" t="s">
        <v>69</v>
      </c>
    </row>
    <row r="17" spans="1:11" x14ac:dyDescent="0.6">
      <c r="A17" s="24" t="s">
        <v>221</v>
      </c>
      <c r="B17" s="9"/>
      <c r="C17" s="9"/>
      <c r="D17" s="9"/>
      <c r="E17" s="9" t="s">
        <v>47</v>
      </c>
      <c r="F17" s="9"/>
      <c r="G17" s="9" t="s">
        <v>47</v>
      </c>
      <c r="H17" s="9" t="s">
        <v>48</v>
      </c>
      <c r="I17" s="19" t="str" cm="1">
        <f t="array" ref="I17">IF(COUNTA(B17:H17)=0,"0 (0%)",SUMPRODUCT(LEN(B17:H17))&amp;" ("&amp;TEXT(SUMPRODUCT(LEN(B17:H17)-LEN(SUBSTITUTE(B17:H17,"W","")))/SUMPRODUCT(LEN(B17:H17)),"0%")&amp;")")</f>
        <v>3 (67%)</v>
      </c>
      <c r="J17" s="22" t="s">
        <v>184</v>
      </c>
      <c r="K17" s="9" t="s">
        <v>43</v>
      </c>
    </row>
    <row r="18" spans="1:11" x14ac:dyDescent="0.6">
      <c r="A18" s="24" t="s">
        <v>18</v>
      </c>
      <c r="B18" s="9"/>
      <c r="C18" s="9" t="s">
        <v>47</v>
      </c>
      <c r="D18" s="9"/>
      <c r="E18" s="9" t="s">
        <v>47</v>
      </c>
      <c r="F18" s="9"/>
      <c r="G18" s="9"/>
      <c r="H18" s="9" t="s">
        <v>47</v>
      </c>
      <c r="I18" s="19" t="str" cm="1">
        <f t="array" ref="I18">IF(COUNTA(B18:H18)=0,"0 (0%)",SUMPRODUCT(LEN(B18:H18))&amp;" ("&amp;TEXT(SUMPRODUCT(LEN(B18:H18)-LEN(SUBSTITUTE(B18:H18,"W","")))/SUMPRODUCT(LEN(B18:H18)),"0%")&amp;")")</f>
        <v>3 (100%)</v>
      </c>
      <c r="J18" s="22" t="s">
        <v>155</v>
      </c>
      <c r="K18" s="9" t="s">
        <v>104</v>
      </c>
    </row>
    <row r="19" spans="1:11" x14ac:dyDescent="0.6">
      <c r="A19" s="24" t="s">
        <v>187</v>
      </c>
      <c r="B19" s="22"/>
      <c r="C19" s="22"/>
      <c r="D19" s="22" t="s">
        <v>48</v>
      </c>
      <c r="E19" s="22" t="s">
        <v>48</v>
      </c>
      <c r="F19" s="22"/>
      <c r="G19" s="22"/>
      <c r="H19" s="22"/>
      <c r="I19" s="19" t="str" cm="1">
        <f t="array" ref="I19">IF(COUNTA(B19:H19)=0,"0 (0%)",SUMPRODUCT(LEN(B19:H19))&amp;" ("&amp;TEXT(SUMPRODUCT(LEN(B19:H19)-LEN(SUBSTITUTE(B19:H19,"W","")))/SUMPRODUCT(LEN(B19:H19)),"0%")&amp;")")</f>
        <v>2 (0%)</v>
      </c>
      <c r="J19" s="22" t="s">
        <v>166</v>
      </c>
      <c r="K19" s="22" t="s">
        <v>45</v>
      </c>
    </row>
    <row r="20" spans="1:11" x14ac:dyDescent="0.6">
      <c r="A20" s="26" t="s">
        <v>2</v>
      </c>
      <c r="B20" s="5" t="s">
        <v>48</v>
      </c>
      <c r="C20" s="5" t="s">
        <v>48</v>
      </c>
      <c r="D20" s="5" t="s">
        <v>47</v>
      </c>
      <c r="E20" s="5" t="s">
        <v>48</v>
      </c>
      <c r="F20" s="5" t="s">
        <v>48</v>
      </c>
      <c r="G20" s="5" t="s">
        <v>48</v>
      </c>
      <c r="H20" s="5" t="s">
        <v>47</v>
      </c>
      <c r="I20" s="20" t="str" cm="1">
        <f t="array" ref="I20">IF(COUNTA(B20:H20)=0,"0 (0%)",SUMPRODUCT(LEN(B20:H20))&amp;" ("&amp;TEXT(SUMPRODUCT(LEN(B20:H20)-LEN(SUBSTITUTE(B20:H20,"W","")))/SUMPRODUCT(LEN(B20:H20)),"0%")&amp;")")</f>
        <v>7 (29%)</v>
      </c>
      <c r="J20" s="12" t="s">
        <v>186</v>
      </c>
      <c r="K20" s="5" t="s">
        <v>125</v>
      </c>
    </row>
    <row r="21" spans="1:11" x14ac:dyDescent="0.6">
      <c r="A21" s="26" t="s">
        <v>140</v>
      </c>
      <c r="B21" s="5"/>
      <c r="C21" s="5"/>
      <c r="D21" s="5"/>
      <c r="E21" s="5"/>
      <c r="F21" s="5" t="s">
        <v>47</v>
      </c>
      <c r="G21" s="5" t="s">
        <v>48</v>
      </c>
      <c r="H21" s="5"/>
      <c r="I21" s="20" t="str" cm="1">
        <f t="array" ref="I21">IF(COUNTA(B21:H21)=0,"0 (0%)",SUMPRODUCT(LEN(B21:H21))&amp;" ("&amp;TEXT(SUMPRODUCT(LEN(B21:H21)-LEN(SUBSTITUTE(B21:H21,"W","")))/SUMPRODUCT(LEN(B21:H21)),"0%")&amp;")")</f>
        <v>2 (50%)</v>
      </c>
      <c r="J21" s="12" t="s">
        <v>183</v>
      </c>
      <c r="K21" s="5" t="s">
        <v>207</v>
      </c>
    </row>
    <row r="22" spans="1:11" x14ac:dyDescent="0.6">
      <c r="A22" s="26" t="s">
        <v>84</v>
      </c>
      <c r="B22" s="5"/>
      <c r="C22" s="5"/>
      <c r="D22" s="5"/>
      <c r="E22" s="5"/>
      <c r="F22" s="5" t="s">
        <v>48</v>
      </c>
      <c r="G22" s="5"/>
      <c r="H22" s="5"/>
      <c r="I22" s="20" t="str" cm="1">
        <f t="array" ref="I22">IF(COUNTA(B22:H22)=0,"0 (0%)",SUMPRODUCT(LEN(B22:H22))&amp;" ("&amp;TEXT(SUMPRODUCT(LEN(B22:H22)-LEN(SUBSTITUTE(B22:H22,"W","")))/SUMPRODUCT(LEN(B22:H22)),"0%")&amp;")")</f>
        <v>1 (0%)</v>
      </c>
      <c r="J22" s="12" t="s">
        <v>168</v>
      </c>
      <c r="K22" s="5" t="s">
        <v>170</v>
      </c>
    </row>
    <row r="23" spans="1:11" x14ac:dyDescent="0.6">
      <c r="A23" s="26" t="s">
        <v>3</v>
      </c>
      <c r="B23" s="12"/>
      <c r="C23" s="12"/>
      <c r="D23" s="12"/>
      <c r="E23" s="12"/>
      <c r="F23" s="12"/>
      <c r="G23" s="12"/>
      <c r="H23" s="12"/>
      <c r="I23" s="20" t="str" cm="1">
        <f t="array" ref="I23">IF(COUNTA(B23:H23)=0,"0 (0%)",SUMPRODUCT(LEN(B23:H23))&amp;" ("&amp;TEXT(SUMPRODUCT(LEN(B23:H23)-LEN(SUBSTITUTE(B23:H23,"W","")))/SUMPRODUCT(LEN(B23:H23)),"0%")&amp;")")</f>
        <v>0 (0%)</v>
      </c>
      <c r="J23" s="12" t="s">
        <v>155</v>
      </c>
      <c r="K23" s="5" t="s">
        <v>124</v>
      </c>
    </row>
    <row r="24" spans="1:11" x14ac:dyDescent="0.6">
      <c r="A24" s="26" t="s">
        <v>85</v>
      </c>
      <c r="B24" s="5"/>
      <c r="C24" s="5"/>
      <c r="D24" s="5"/>
      <c r="E24" s="5"/>
      <c r="F24" s="5"/>
      <c r="G24" s="5"/>
      <c r="H24" s="5"/>
      <c r="I24" s="20" t="str" cm="1">
        <f t="array" ref="I24">IF(COUNTA(B24:H24)=0,"0 (0%)",SUMPRODUCT(LEN(B24:H24))&amp;" ("&amp;TEXT(SUMPRODUCT(LEN(B24:H24)-LEN(SUBSTITUTE(B24:H24,"W","")))/SUMPRODUCT(LEN(B24:H24)),"0%")&amp;")")</f>
        <v>0 (0%)</v>
      </c>
      <c r="J24" s="12" t="s">
        <v>151</v>
      </c>
      <c r="K24" s="5" t="s">
        <v>89</v>
      </c>
    </row>
    <row r="25" spans="1:11" x14ac:dyDescent="0.6">
      <c r="A25" s="26" t="s">
        <v>0</v>
      </c>
      <c r="B25" s="5"/>
      <c r="C25" s="5"/>
      <c r="D25" s="5"/>
      <c r="E25" s="5"/>
      <c r="F25" s="5"/>
      <c r="G25" s="5"/>
      <c r="H25" s="5"/>
      <c r="I25" s="20" t="str" cm="1">
        <f t="array" ref="I25">IF(COUNTA(B25:H25)=0,"0 (0%)",SUMPRODUCT(LEN(B25:H25))&amp;" ("&amp;TEXT(SUMPRODUCT(LEN(B25:H25)-LEN(SUBSTITUTE(B25:H25,"W","")))/SUMPRODUCT(LEN(B25:H25)),"0%")&amp;")")</f>
        <v>0 (0%)</v>
      </c>
      <c r="J25" s="12" t="s">
        <v>166</v>
      </c>
      <c r="K25" s="5" t="s">
        <v>123</v>
      </c>
    </row>
    <row r="26" spans="1:11" x14ac:dyDescent="0.6">
      <c r="A26" s="14" t="s">
        <v>50</v>
      </c>
      <c r="B26" s="3" t="str" cm="1">
        <f t="array" ref="B26">IF(COUNTA(B2:B25)=0,"0 (0%)",SUMPRODUCT(LEN(B2:B25))&amp;" ("&amp;TEXT(SUMPRODUCT(LEN(B2:B25)-LEN(SUBSTITUTE(B2:B25,"W","")))/SUMPRODUCT(LEN(B2:B25)),"0%")&amp;")")</f>
        <v>12 (42%)</v>
      </c>
      <c r="C26" s="3" t="str" cm="1">
        <f t="array" ref="C26">IF(COUNTA(C2:C25)=0,"0 (0%)",SUMPRODUCT(LEN(C2:C25))&amp;" ("&amp;TEXT(SUMPRODUCT(LEN(C2:C25)-LEN(SUBSTITUTE(C2:C25,"W","")))/SUMPRODUCT(LEN(C2:C25)),"0%")&amp;")")</f>
        <v>12 (58%)</v>
      </c>
      <c r="D26" s="3" t="str" cm="1">
        <f t="array" ref="D26">IF(COUNTA(D2:D25)=0,"0 (0%)",SUMPRODUCT(LEN(D2:D25))&amp;" ("&amp;TEXT(SUMPRODUCT(LEN(D2:D25)-LEN(SUBSTITUTE(D2:D25,"W","")))/SUMPRODUCT(LEN(D2:D25)),"0%")&amp;")")</f>
        <v>12 (58%)</v>
      </c>
      <c r="E26" s="3" t="str" cm="1">
        <f t="array" ref="E26">IF(COUNTA(E2:E25)=0,"0 (0%)",SUMPRODUCT(LEN(E2:E25))&amp;" ("&amp;TEXT(SUMPRODUCT(LEN(E2:E25)-LEN(SUBSTITUTE(E2:E25,"W","")))/SUMPRODUCT(LEN(E2:E25)),"0%")&amp;")")</f>
        <v>12 (58%)</v>
      </c>
      <c r="F26" s="3" t="str" cm="1">
        <f t="array" ref="F26">IF(COUNTA(F2:F25)=0,"0 (0%)",SUMPRODUCT(LEN(F2:F25))&amp;" ("&amp;TEXT(SUMPRODUCT(LEN(F2:F25)-LEN(SUBSTITUTE(F2:F25,"W","")))/SUMPRODUCT(LEN(F2:F25)),"0%")&amp;")")</f>
        <v>12 (33%)</v>
      </c>
      <c r="G26" s="7" t="str" cm="1">
        <f t="array" ref="G26">IF(COUNTA(G2:G25)=0,"0 (0%)",SUMPRODUCT(LEN(G2:G25))&amp;" ("&amp;TEXT(SUMPRODUCT(LEN(G2:G25)-LEN(SUBSTITUTE(G2:G25,"W","")))/SUMPRODUCT(LEN(G2:G25)),"0%")&amp;")")</f>
        <v>11 (36%)</v>
      </c>
      <c r="H26" s="3" t="str" cm="1">
        <f t="array" ref="H26">IF(COUNTA(H2:H25)=0,"0 (0%)",SUMPRODUCT(LEN(H2:H25))&amp;" ("&amp;TEXT(SUMPRODUCT(LEN(H2:H25)-LEN(SUBSTITUTE(H2:H25,"W","")))/SUMPRODUCT(LEN(H2:H25)),"0%")&amp;")")</f>
        <v>12 (42%)</v>
      </c>
      <c r="I26" s="1" t="str" cm="1">
        <f t="array" ref="I26">IF(COUNTA(B2:H25)=0,"0 (0%)",SUMPRODUCT(LEN(B2:H25))&amp;" ("&amp;TEXT(SUMPRODUCT(LEN(B2:H25)-LEN(SUBSTITUTE(B2:H25,"W","")))/SUMPRODUCT(LEN(B2:H25)),"0%")&amp;")")</f>
        <v>83 (47%)</v>
      </c>
      <c r="J26" s="1" t="s">
        <v>132</v>
      </c>
      <c r="K26" s="1"/>
    </row>
  </sheetData>
  <sortState xmlns:xlrd2="http://schemas.microsoft.com/office/spreadsheetml/2017/richdata2" ref="A2:K25">
    <sortCondition sortBy="cellColor" ref="I2:I25" dxfId="21"/>
    <sortCondition sortBy="cellColor" ref="I2:I25" dxfId="20"/>
    <sortCondition sortBy="cellColor" ref="I2:I25" dxfId="19"/>
    <sortCondition descending="1" sortBy="cellColor" ref="I2:I25" dxfId="18"/>
    <sortCondition descending="1" ref="I2:I25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F151-63AF-49C9-9AAD-2B5AB94F162C}">
  <dimension ref="A1:K27"/>
  <sheetViews>
    <sheetView zoomScale="75" workbookViewId="0">
      <selection activeCell="A17" sqref="A17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10.4375" customWidth="1"/>
    <col min="11" max="11" width="36" bestFit="1" customWidth="1"/>
  </cols>
  <sheetData>
    <row r="1" spans="1:11" x14ac:dyDescent="0.6">
      <c r="B1" s="10" t="s">
        <v>191</v>
      </c>
      <c r="C1" s="13" t="s">
        <v>192</v>
      </c>
      <c r="D1" s="13" t="s">
        <v>193</v>
      </c>
      <c r="E1" s="10" t="s">
        <v>194</v>
      </c>
      <c r="F1" s="13" t="s">
        <v>195</v>
      </c>
      <c r="G1" s="13" t="s">
        <v>196</v>
      </c>
      <c r="H1" s="13" t="s">
        <v>197</v>
      </c>
      <c r="I1" s="1" t="s">
        <v>50</v>
      </c>
      <c r="J1" s="1" t="s">
        <v>130</v>
      </c>
      <c r="K1" s="1" t="s">
        <v>20</v>
      </c>
    </row>
    <row r="2" spans="1:11" x14ac:dyDescent="0.6">
      <c r="A2" s="23" t="s">
        <v>223</v>
      </c>
      <c r="B2" s="3" t="s">
        <v>48</v>
      </c>
      <c r="C2" s="3"/>
      <c r="D2" s="3"/>
      <c r="E2" s="3" t="s">
        <v>47</v>
      </c>
      <c r="F2" s="3" t="s">
        <v>67</v>
      </c>
      <c r="G2" s="3" t="s">
        <v>48</v>
      </c>
      <c r="H2" s="3" t="s">
        <v>48</v>
      </c>
      <c r="I2" s="17" t="str" cm="1">
        <f t="array" ref="I2">IF(COUNTA(B2:H2)=0,"0 (0%)",SUMPRODUCT(LEN(B2:H2))&amp;" ("&amp;TEXT(SUMPRODUCT(LEN(B2:H2)-LEN(SUBSTITUTE(B2:H2,"W","")))/SUMPRODUCT(LEN(B2:H2)),"0%")&amp;")")</f>
        <v>6 (50%)</v>
      </c>
      <c r="J2" s="21" t="s">
        <v>186</v>
      </c>
      <c r="K2" s="3" t="s">
        <v>44</v>
      </c>
    </row>
    <row r="3" spans="1:11" x14ac:dyDescent="0.6">
      <c r="A3" s="23" t="s">
        <v>109</v>
      </c>
      <c r="B3" s="3"/>
      <c r="C3" s="3" t="s">
        <v>48</v>
      </c>
      <c r="D3" s="3"/>
      <c r="E3" s="3" t="s">
        <v>48</v>
      </c>
      <c r="F3" s="3" t="s">
        <v>47</v>
      </c>
      <c r="G3" s="3" t="s">
        <v>47</v>
      </c>
      <c r="H3" s="3" t="s">
        <v>47</v>
      </c>
      <c r="I3" s="17" t="str" cm="1">
        <f t="array" ref="I3">IF(COUNTA(B3:H3)=0,"0 (0%)",SUMPRODUCT(LEN(B3:H3))&amp;" ("&amp;TEXT(SUMPRODUCT(LEN(B3:H3)-LEN(SUBSTITUTE(B3:H3,"W","")))/SUMPRODUCT(LEN(B3:H3)),"0%")&amp;")")</f>
        <v>5 (60%)</v>
      </c>
      <c r="J3" s="21" t="s">
        <v>146</v>
      </c>
      <c r="K3" s="3"/>
    </row>
    <row r="4" spans="1:11" x14ac:dyDescent="0.6">
      <c r="A4" s="23" t="s">
        <v>121</v>
      </c>
      <c r="B4" s="3" t="s">
        <v>48</v>
      </c>
      <c r="C4" s="3" t="s">
        <v>47</v>
      </c>
      <c r="D4" s="3" t="s">
        <v>47</v>
      </c>
      <c r="E4" s="3" t="s">
        <v>48</v>
      </c>
      <c r="F4" s="3" t="s">
        <v>48</v>
      </c>
      <c r="G4" s="3"/>
      <c r="H4" s="3"/>
      <c r="I4" s="17" t="str" cm="1">
        <f t="array" ref="I4">IF(COUNTA(B4:H4)=0,"0 (0%)",SUMPRODUCT(LEN(B4:H4))&amp;" ("&amp;TEXT(SUMPRODUCT(LEN(B4:H4)-LEN(SUBSTITUTE(B4:H4,"W","")))/SUMPRODUCT(LEN(B4:H4)),"0%")&amp;")")</f>
        <v>5 (40%)</v>
      </c>
      <c r="J4" s="21" t="s">
        <v>146</v>
      </c>
      <c r="K4" s="3"/>
    </row>
    <row r="5" spans="1:11" x14ac:dyDescent="0.6">
      <c r="A5" s="23" t="s">
        <v>12</v>
      </c>
      <c r="B5" s="3" t="s">
        <v>47</v>
      </c>
      <c r="C5" s="3" t="s">
        <v>48</v>
      </c>
      <c r="D5" s="3" t="s">
        <v>48</v>
      </c>
      <c r="E5" s="3"/>
      <c r="F5" s="3" t="s">
        <v>47</v>
      </c>
      <c r="G5" s="3"/>
      <c r="H5" s="3" t="s">
        <v>48</v>
      </c>
      <c r="I5" s="17" t="str" cm="1">
        <f t="array" ref="I5">IF(COUNTA(B5:H5)=0,"0 (0%)",SUMPRODUCT(LEN(B5:H5))&amp;" ("&amp;TEXT(SUMPRODUCT(LEN(B5:H5)-LEN(SUBSTITUTE(B5:H5,"W","")))/SUMPRODUCT(LEN(B5:H5)),"0%")&amp;")")</f>
        <v>5 (40%)</v>
      </c>
      <c r="J5" s="21" t="s">
        <v>189</v>
      </c>
      <c r="K5" s="3"/>
    </row>
    <row r="6" spans="1:11" x14ac:dyDescent="0.6">
      <c r="A6" s="23" t="s">
        <v>38</v>
      </c>
      <c r="B6" s="3"/>
      <c r="C6" s="3" t="s">
        <v>47</v>
      </c>
      <c r="D6" s="3" t="s">
        <v>47</v>
      </c>
      <c r="E6" s="3" t="s">
        <v>48</v>
      </c>
      <c r="F6" s="3" t="s">
        <v>48</v>
      </c>
      <c r="G6" s="3"/>
      <c r="H6" s="3" t="s">
        <v>48</v>
      </c>
      <c r="I6" s="17" t="str" cm="1">
        <f t="array" ref="I6">IF(COUNTA(B6:H6)=0,"0 (0%)",SUMPRODUCT(LEN(B6:H6))&amp;" ("&amp;TEXT(SUMPRODUCT(LEN(B6:H6)-LEN(SUBSTITUTE(B6:H6,"W","")))/SUMPRODUCT(LEN(B6:H6)),"0%")&amp;")")</f>
        <v>5 (40%)</v>
      </c>
      <c r="J6" s="21" t="s">
        <v>164</v>
      </c>
      <c r="K6" s="3"/>
    </row>
    <row r="7" spans="1:11" x14ac:dyDescent="0.6">
      <c r="A7" s="23" t="s">
        <v>33</v>
      </c>
      <c r="B7" s="3" t="s">
        <v>47</v>
      </c>
      <c r="C7" s="3" t="s">
        <v>47</v>
      </c>
      <c r="D7" s="3"/>
      <c r="E7" s="3" t="s">
        <v>48</v>
      </c>
      <c r="F7" s="3" t="s">
        <v>48</v>
      </c>
      <c r="G7" s="3"/>
      <c r="H7" s="3" t="s">
        <v>48</v>
      </c>
      <c r="I7" s="17" t="str" cm="1">
        <f t="array" ref="I7">IF(COUNTA(B7:H7)=0,"0 (0%)",SUMPRODUCT(LEN(B7:H7))&amp;" ("&amp;TEXT(SUMPRODUCT(LEN(B7:H7)-LEN(SUBSTITUTE(B7:H7,"W","")))/SUMPRODUCT(LEN(B7:H7)),"0%")&amp;")")</f>
        <v>5 (40%)</v>
      </c>
      <c r="J7" s="21" t="s">
        <v>147</v>
      </c>
      <c r="K7" s="3" t="s">
        <v>41</v>
      </c>
    </row>
    <row r="8" spans="1:11" x14ac:dyDescent="0.6">
      <c r="A8" s="23" t="s">
        <v>5</v>
      </c>
      <c r="B8" s="3" t="s">
        <v>47</v>
      </c>
      <c r="C8" s="3" t="s">
        <v>48</v>
      </c>
      <c r="D8" s="3" t="s">
        <v>48</v>
      </c>
      <c r="E8" s="3" t="s">
        <v>48</v>
      </c>
      <c r="F8" s="3"/>
      <c r="G8" s="3" t="s">
        <v>48</v>
      </c>
      <c r="H8" s="3"/>
      <c r="I8" s="17" t="str" cm="1">
        <f t="array" ref="I8">IF(COUNTA(B8:H8)=0,"0 (0%)",SUMPRODUCT(LEN(B8:H8))&amp;" ("&amp;TEXT(SUMPRODUCT(LEN(B8:H8)-LEN(SUBSTITUTE(B8:H8,"W","")))/SUMPRODUCT(LEN(B8:H8)),"0%")&amp;")")</f>
        <v>5 (20%)</v>
      </c>
      <c r="J8" s="21" t="s">
        <v>163</v>
      </c>
      <c r="K8" s="3"/>
    </row>
    <row r="9" spans="1:11" x14ac:dyDescent="0.6">
      <c r="A9" s="23" t="s">
        <v>9</v>
      </c>
      <c r="B9" s="3" t="s">
        <v>48</v>
      </c>
      <c r="C9" s="3"/>
      <c r="D9" s="3" t="s">
        <v>47</v>
      </c>
      <c r="E9" s="3"/>
      <c r="F9" s="3" t="s">
        <v>48</v>
      </c>
      <c r="G9" s="3" t="s">
        <v>48</v>
      </c>
      <c r="H9" s="3" t="s">
        <v>48</v>
      </c>
      <c r="I9" s="17" t="str" cm="1">
        <f t="array" ref="I9">IF(COUNTA(B9:H9)=0,"0 (0%)",SUMPRODUCT(LEN(B9:H9))&amp;" ("&amp;TEXT(SUMPRODUCT(LEN(B9:H9)-LEN(SUBSTITUTE(B9:H9,"W","")))/SUMPRODUCT(LEN(B9:H9)),"0%")&amp;")")</f>
        <v>5 (20%)</v>
      </c>
      <c r="J9" s="21" t="s">
        <v>146</v>
      </c>
      <c r="K9" s="3"/>
    </row>
    <row r="10" spans="1:11" x14ac:dyDescent="0.6">
      <c r="A10" s="23" t="s">
        <v>32</v>
      </c>
      <c r="B10" s="3" t="s">
        <v>48</v>
      </c>
      <c r="C10" s="3"/>
      <c r="D10" s="3"/>
      <c r="E10" s="3" t="s">
        <v>48</v>
      </c>
      <c r="F10" s="3" t="s">
        <v>48</v>
      </c>
      <c r="G10" s="3" t="s">
        <v>48</v>
      </c>
      <c r="H10" s="3" t="s">
        <v>47</v>
      </c>
      <c r="I10" s="17" t="str" cm="1">
        <f t="array" ref="I10">IF(COUNTA(B10:H10)=0,"0 (0%)",SUMPRODUCT(LEN(B10:H10))&amp;" ("&amp;TEXT(SUMPRODUCT(LEN(B10:H10)-LEN(SUBSTITUTE(B10:H10,"W","")))/SUMPRODUCT(LEN(B10:H10)),"0%")&amp;")")</f>
        <v>5 (20%)</v>
      </c>
      <c r="J10" s="21" t="s">
        <v>190</v>
      </c>
      <c r="K10" s="3"/>
    </row>
    <row r="11" spans="1:11" x14ac:dyDescent="0.6">
      <c r="A11" s="25" t="s">
        <v>187</v>
      </c>
      <c r="B11" s="16" t="s">
        <v>47</v>
      </c>
      <c r="C11" s="16"/>
      <c r="D11" s="16" t="s">
        <v>47</v>
      </c>
      <c r="E11" s="16"/>
      <c r="F11" s="16" t="s">
        <v>47</v>
      </c>
      <c r="G11" s="16"/>
      <c r="H11" s="16" t="s">
        <v>47</v>
      </c>
      <c r="I11" s="18" t="str" cm="1">
        <f t="array" ref="I11">IF(COUNTA(B11:H11)=0,"0 (0%)",SUMPRODUCT(LEN(B11:H11))&amp;" ("&amp;TEXT(SUMPRODUCT(LEN(B11:H11)-LEN(SUBSTITUTE(B11:H11,"W","")))/SUMPRODUCT(LEN(B11:H11)),"0%")&amp;")")</f>
        <v>4 (100%)</v>
      </c>
      <c r="J11" s="16" t="s">
        <v>190</v>
      </c>
      <c r="K11" s="16"/>
    </row>
    <row r="12" spans="1:11" x14ac:dyDescent="0.6">
      <c r="A12" s="25" t="s">
        <v>19</v>
      </c>
      <c r="B12" s="7" t="s">
        <v>48</v>
      </c>
      <c r="C12" s="7"/>
      <c r="D12" s="7"/>
      <c r="E12" s="7" t="s">
        <v>47</v>
      </c>
      <c r="F12" s="7" t="s">
        <v>47</v>
      </c>
      <c r="G12" s="7"/>
      <c r="H12" s="7"/>
      <c r="I12" s="18" t="str" cm="1">
        <f t="array" ref="I12">IF(COUNTA(B12:H12)=0,"0 (0%)",SUMPRODUCT(LEN(B12:H12))&amp;" ("&amp;TEXT(SUMPRODUCT(LEN(B12:H12)-LEN(SUBSTITUTE(B12:H12,"W","")))/SUMPRODUCT(LEN(B12:H12)),"0%")&amp;")")</f>
        <v>3 (67%)</v>
      </c>
      <c r="J12" s="16" t="s">
        <v>150</v>
      </c>
      <c r="K12" s="10" t="s">
        <v>169</v>
      </c>
    </row>
    <row r="13" spans="1:11" x14ac:dyDescent="0.6">
      <c r="A13" s="25" t="s">
        <v>141</v>
      </c>
      <c r="B13" s="7"/>
      <c r="C13" s="7" t="s">
        <v>47</v>
      </c>
      <c r="D13" s="7" t="s">
        <v>48</v>
      </c>
      <c r="E13" s="7"/>
      <c r="F13" s="7"/>
      <c r="G13" s="7" t="s">
        <v>48</v>
      </c>
      <c r="H13" s="7"/>
      <c r="I13" s="18" t="str" cm="1">
        <f t="array" ref="I13">IF(COUNTA(B13:H13)=0,"0 (0%)",SUMPRODUCT(LEN(B13:H13))&amp;" ("&amp;TEXT(SUMPRODUCT(LEN(B13:H13)-LEN(SUBSTITUTE(B13:H13,"W","")))/SUMPRODUCT(LEN(B13:H13)),"0%")&amp;")")</f>
        <v>3 (33%)</v>
      </c>
      <c r="J13" s="7" t="s">
        <v>150</v>
      </c>
      <c r="K13" s="7"/>
    </row>
    <row r="14" spans="1:11" x14ac:dyDescent="0.6">
      <c r="A14" s="25" t="s">
        <v>55</v>
      </c>
      <c r="B14" s="7" t="s">
        <v>48</v>
      </c>
      <c r="C14" s="7" t="s">
        <v>48</v>
      </c>
      <c r="D14" s="7"/>
      <c r="E14" s="7"/>
      <c r="F14" s="7"/>
      <c r="G14" s="7"/>
      <c r="H14" s="7"/>
      <c r="I14" s="18" t="str" cm="1">
        <f t="array" ref="I14">IF(COUNTA(B14:H14)=0,"0 (0%)",SUMPRODUCT(LEN(B14:H14))&amp;" ("&amp;TEXT(SUMPRODUCT(LEN(B14:H14)-LEN(SUBSTITUTE(B14:H14,"W","")))/SUMPRODUCT(LEN(B14:H14)),"0%")&amp;")")</f>
        <v>2 (0%)</v>
      </c>
      <c r="J14" s="16" t="s">
        <v>154</v>
      </c>
      <c r="K14" s="7"/>
    </row>
    <row r="15" spans="1:11" x14ac:dyDescent="0.6">
      <c r="A15" s="25" t="s">
        <v>198</v>
      </c>
      <c r="B15" s="7"/>
      <c r="C15" s="7"/>
      <c r="D15" s="7" t="s">
        <v>48</v>
      </c>
      <c r="E15" s="7"/>
      <c r="F15" s="7"/>
      <c r="G15" s="7"/>
      <c r="H15" s="7"/>
      <c r="I15" s="18" t="str" cm="1">
        <f t="array" ref="I15">IF(COUNTA(B15:H15)=0,"0 (0%)",SUMPRODUCT(LEN(B15:H15))&amp;" ("&amp;TEXT(SUMPRODUCT(LEN(B15:H15)-LEN(SUBSTITUTE(B15:H15,"W","")))/SUMPRODUCT(LEN(B15:H15)),"0%")&amp;")")</f>
        <v>1 (0%)</v>
      </c>
      <c r="J15" s="16" t="s">
        <v>166</v>
      </c>
      <c r="K15" s="7" t="s">
        <v>210</v>
      </c>
    </row>
    <row r="16" spans="1:11" x14ac:dyDescent="0.6">
      <c r="A16" s="25" t="s">
        <v>222</v>
      </c>
      <c r="B16" s="16"/>
      <c r="C16" s="16"/>
      <c r="D16" s="16"/>
      <c r="E16" s="16"/>
      <c r="F16" s="16"/>
      <c r="G16" s="16"/>
      <c r="H16" s="16"/>
      <c r="I16" s="18" t="str" cm="1">
        <f t="array" ref="I16">IF(COUNTA(B16:H16)=0,"0 (0%)",SUMPRODUCT(LEN(B16:H16))&amp;" ("&amp;TEXT(SUMPRODUCT(LEN(B16:H16)-LEN(SUBSTITUTE(B16:H16,"W","")))/SUMPRODUCT(LEN(B16:H16)),"0%")&amp;")")</f>
        <v>0 (0%)</v>
      </c>
      <c r="J16" s="16" t="s">
        <v>155</v>
      </c>
      <c r="K16" s="16" t="s">
        <v>188</v>
      </c>
    </row>
    <row r="17" spans="1:11" x14ac:dyDescent="0.6">
      <c r="A17" s="24" t="s">
        <v>221</v>
      </c>
      <c r="B17" s="9"/>
      <c r="C17" s="9" t="s">
        <v>47</v>
      </c>
      <c r="D17" s="9"/>
      <c r="E17" s="9" t="s">
        <v>47</v>
      </c>
      <c r="F17" s="9"/>
      <c r="G17" s="9" t="s">
        <v>48</v>
      </c>
      <c r="H17" s="9" t="s">
        <v>48</v>
      </c>
      <c r="I17" s="19" t="str" cm="1">
        <f t="array" ref="I17">IF(COUNTA(B17:H17)=0,"0 (0%)",SUMPRODUCT(LEN(B17:H17))&amp;" ("&amp;TEXT(SUMPRODUCT(LEN(B17:H17)-LEN(SUBSTITUTE(B17:H17,"W","")))/SUMPRODUCT(LEN(B17:H17)),"0%")&amp;")")</f>
        <v>4 (50%)</v>
      </c>
      <c r="J17" s="22" t="s">
        <v>150</v>
      </c>
      <c r="K17" s="9" t="s">
        <v>43</v>
      </c>
    </row>
    <row r="18" spans="1:11" x14ac:dyDescent="0.6">
      <c r="A18" s="24" t="s">
        <v>18</v>
      </c>
      <c r="B18" s="9"/>
      <c r="C18" s="9" t="s">
        <v>48</v>
      </c>
      <c r="D18" s="9" t="s">
        <v>48</v>
      </c>
      <c r="E18" s="9"/>
      <c r="F18" s="9"/>
      <c r="G18" s="9" t="s">
        <v>48</v>
      </c>
      <c r="H18" s="9"/>
      <c r="I18" s="19" t="str" cm="1">
        <f t="array" ref="I18">IF(COUNTA(B18:H18)=0,"0 (0%)",SUMPRODUCT(LEN(B18:H18))&amp;" ("&amp;TEXT(SUMPRODUCT(LEN(B18:H18)-LEN(SUBSTITUTE(B18:H18,"W","")))/SUMPRODUCT(LEN(B18:H18)),"0%")&amp;")")</f>
        <v>3 (0%)</v>
      </c>
      <c r="J18" s="22" t="s">
        <v>167</v>
      </c>
      <c r="K18" s="9" t="s">
        <v>104</v>
      </c>
    </row>
    <row r="19" spans="1:11" x14ac:dyDescent="0.6">
      <c r="A19" s="24" t="s">
        <v>7</v>
      </c>
      <c r="B19" s="9"/>
      <c r="C19" s="9" t="s">
        <v>48</v>
      </c>
      <c r="D19" s="9"/>
      <c r="E19" s="9"/>
      <c r="F19" s="9"/>
      <c r="G19" s="9" t="s">
        <v>47</v>
      </c>
      <c r="H19" s="9"/>
      <c r="I19" s="19" t="str" cm="1">
        <f t="array" ref="I19">IF(COUNTA(B19:H19)=0,"0 (0%)",SUMPRODUCT(LEN(B19:H19))&amp;" ("&amp;TEXT(SUMPRODUCT(LEN(B19:H19)-LEN(SUBSTITUTE(B19:H19,"W","")))/SUMPRODUCT(LEN(B19:H19)),"0%")&amp;")")</f>
        <v>2 (50%)</v>
      </c>
      <c r="J19" s="22" t="s">
        <v>149</v>
      </c>
      <c r="K19" s="27" t="s">
        <v>69</v>
      </c>
    </row>
    <row r="20" spans="1:11" x14ac:dyDescent="0.6">
      <c r="A20" s="24" t="s">
        <v>208</v>
      </c>
      <c r="B20" s="9"/>
      <c r="C20" s="9"/>
      <c r="D20" s="9"/>
      <c r="E20" s="9"/>
      <c r="F20" s="9"/>
      <c r="G20" s="9" t="s">
        <v>47</v>
      </c>
      <c r="H20" s="9" t="s">
        <v>48</v>
      </c>
      <c r="I20" s="19" t="str" cm="1">
        <f t="array" ref="I20">IF(COUNTA(B20:H20)=0,"0 (0%)",SUMPRODUCT(LEN(B20:H20))&amp;" ("&amp;TEXT(SUMPRODUCT(LEN(B20:H20)-LEN(SUBSTITUTE(B20:H20,"W","")))/SUMPRODUCT(LEN(B20:H20)),"0%")&amp;")")</f>
        <v>2 (50%)</v>
      </c>
      <c r="J20" s="22" t="s">
        <v>166</v>
      </c>
      <c r="K20" s="9" t="s">
        <v>209</v>
      </c>
    </row>
    <row r="21" spans="1:11" x14ac:dyDescent="0.6">
      <c r="A21" s="26" t="s">
        <v>2</v>
      </c>
      <c r="B21" s="5" t="s">
        <v>48</v>
      </c>
      <c r="C21" s="5" t="s">
        <v>47</v>
      </c>
      <c r="D21" s="5" t="s">
        <v>47</v>
      </c>
      <c r="E21" s="5" t="s">
        <v>48</v>
      </c>
      <c r="F21" s="5" t="s">
        <v>47</v>
      </c>
      <c r="G21" s="5" t="s">
        <v>47</v>
      </c>
      <c r="H21" s="5" t="s">
        <v>47</v>
      </c>
      <c r="I21" s="20" t="str" cm="1">
        <f t="array" ref="I21">IF(COUNTA(B21:H21)=0,"0 (0%)",SUMPRODUCT(LEN(B21:H21))&amp;" ("&amp;TEXT(SUMPRODUCT(LEN(B21:H21)-LEN(SUBSTITUTE(B21:H21,"W","")))/SUMPRODUCT(LEN(B21:H21)),"0%")&amp;")")</f>
        <v>7 (71%)</v>
      </c>
      <c r="J21" s="12" t="s">
        <v>212</v>
      </c>
      <c r="K21" s="5" t="s">
        <v>125</v>
      </c>
    </row>
    <row r="22" spans="1:11" x14ac:dyDescent="0.6">
      <c r="A22" s="26" t="s">
        <v>140</v>
      </c>
      <c r="B22" s="5"/>
      <c r="C22" s="5"/>
      <c r="D22" s="5" t="s">
        <v>47</v>
      </c>
      <c r="E22" s="5" t="s">
        <v>47</v>
      </c>
      <c r="F22" s="5"/>
      <c r="G22" s="5" t="s">
        <v>47</v>
      </c>
      <c r="H22" s="5"/>
      <c r="I22" s="20" t="str" cm="1">
        <f t="array" ref="I22">IF(COUNTA(B22:H22)=0,"0 (0%)",SUMPRODUCT(LEN(B22:H22))&amp;" ("&amp;TEXT(SUMPRODUCT(LEN(B22:H22)-LEN(SUBSTITUTE(B22:H22,"W","")))/SUMPRODUCT(LEN(B22:H22)),"0%")&amp;")")</f>
        <v>3 (100%)</v>
      </c>
      <c r="J22" s="12" t="s">
        <v>155</v>
      </c>
      <c r="K22" s="5" t="s">
        <v>89</v>
      </c>
    </row>
    <row r="23" spans="1:11" x14ac:dyDescent="0.6">
      <c r="A23" s="26" t="s">
        <v>85</v>
      </c>
      <c r="B23" s="5"/>
      <c r="C23" s="5"/>
      <c r="D23" s="5" t="s">
        <v>47</v>
      </c>
      <c r="E23" s="5"/>
      <c r="F23" s="5"/>
      <c r="G23" s="5"/>
      <c r="H23" s="5" t="s">
        <v>48</v>
      </c>
      <c r="I23" s="20" t="str" cm="1">
        <f t="array" ref="I23">IF(COUNTA(B23:H23)=0,"0 (0%)",SUMPRODUCT(LEN(B23:H23))&amp;" ("&amp;TEXT(SUMPRODUCT(LEN(B23:H23)-LEN(SUBSTITUTE(B23:H23,"W","")))/SUMPRODUCT(LEN(B23:H23)),"0%")&amp;")")</f>
        <v>2 (50%)</v>
      </c>
      <c r="J23" s="12" t="s">
        <v>166</v>
      </c>
      <c r="K23" s="5" t="s">
        <v>89</v>
      </c>
    </row>
    <row r="24" spans="1:11" x14ac:dyDescent="0.6">
      <c r="A24" s="26" t="s">
        <v>84</v>
      </c>
      <c r="B24" s="5"/>
      <c r="C24" s="5"/>
      <c r="D24" s="5"/>
      <c r="E24" s="5"/>
      <c r="F24" s="5"/>
      <c r="G24" s="5"/>
      <c r="H24" s="5"/>
      <c r="I24" s="20" t="str" cm="1">
        <f t="array" ref="I24">IF(COUNTA(B24:H24)=0,"0 (0%)",SUMPRODUCT(LEN(B24:H24))&amp;" ("&amp;TEXT(SUMPRODUCT(LEN(B24:H24)-LEN(SUBSTITUTE(B24:H24,"W","")))/SUMPRODUCT(LEN(B24:H24)),"0%")&amp;")")</f>
        <v>0 (0%)</v>
      </c>
      <c r="J24" s="12" t="s">
        <v>168</v>
      </c>
      <c r="K24" s="5" t="s">
        <v>170</v>
      </c>
    </row>
    <row r="25" spans="1:11" x14ac:dyDescent="0.6">
      <c r="A25" s="26" t="s">
        <v>3</v>
      </c>
      <c r="B25" s="12"/>
      <c r="C25" s="12"/>
      <c r="D25" s="12"/>
      <c r="E25" s="12"/>
      <c r="F25" s="12"/>
      <c r="G25" s="12"/>
      <c r="H25" s="12"/>
      <c r="I25" s="20" t="str" cm="1">
        <f t="array" ref="I25">IF(COUNTA(B25:H25)=0,"0 (0%)",SUMPRODUCT(LEN(B25:H25))&amp;" ("&amp;TEXT(SUMPRODUCT(LEN(B25:H25)-LEN(SUBSTITUTE(B25:H25,"W","")))/SUMPRODUCT(LEN(B25:H25)),"0%")&amp;")")</f>
        <v>0 (0%)</v>
      </c>
      <c r="J25" s="12" t="s">
        <v>166</v>
      </c>
      <c r="K25" s="5" t="s">
        <v>124</v>
      </c>
    </row>
    <row r="26" spans="1:11" x14ac:dyDescent="0.6">
      <c r="A26" s="26" t="s">
        <v>0</v>
      </c>
      <c r="B26" s="5"/>
      <c r="C26" s="5"/>
      <c r="D26" s="5"/>
      <c r="E26" s="5"/>
      <c r="F26" s="5"/>
      <c r="G26" s="5"/>
      <c r="H26" s="5"/>
      <c r="I26" s="20" t="str" cm="1">
        <f t="array" ref="I26">IF(COUNTA(B26:H26)=0,"0 (0%)",SUMPRODUCT(LEN(B26:H26))&amp;" ("&amp;TEXT(SUMPRODUCT(LEN(B26:H26)-LEN(SUBSTITUTE(B26:H26,"W","")))/SUMPRODUCT(LEN(B26:H26)),"0%")&amp;")")</f>
        <v>0 (0%)</v>
      </c>
      <c r="J26" s="12" t="s">
        <v>166</v>
      </c>
      <c r="K26" s="5" t="s">
        <v>123</v>
      </c>
    </row>
    <row r="27" spans="1:11" x14ac:dyDescent="0.6">
      <c r="A27" s="14" t="s">
        <v>50</v>
      </c>
      <c r="B27" s="7" t="str" cm="1">
        <f t="array" ref="B27">IF(COUNTA(B2:B26)=0,"0 (0%)",SUMPRODUCT(LEN(B2:B26))&amp;" ("&amp;TEXT(SUMPRODUCT(LEN(B2:B26)-LEN(SUBSTITUTE(B2:B26,"W","")))/SUMPRODUCT(LEN(B2:B26)),"0%")&amp;")")</f>
        <v>11 (36%)</v>
      </c>
      <c r="C27" s="3" t="str" cm="1">
        <f t="array" ref="C27">IF(COUNTA(C2:C26)=0,"0 (0%)",SUMPRODUCT(LEN(C2:C26))&amp;" ("&amp;TEXT(SUMPRODUCT(LEN(C2:C26)-LEN(SUBSTITUTE(C2:C26,"W","")))/SUMPRODUCT(LEN(C2:C26)),"0%")&amp;")")</f>
        <v>12 (50%)</v>
      </c>
      <c r="D27" s="3" t="str" cm="1">
        <f t="array" ref="D27">IF(COUNTA(D2:D26)=0,"0 (0%)",SUMPRODUCT(LEN(D2:D26))&amp;" ("&amp;TEXT(SUMPRODUCT(LEN(D2:D26)-LEN(SUBSTITUTE(D2:D26,"W","")))/SUMPRODUCT(LEN(D2:D26)),"0%")&amp;")")</f>
        <v>12 (58%)</v>
      </c>
      <c r="E27" s="7" t="str" cm="1">
        <f t="array" ref="E27">IF(COUNTA(E2:E26)=0,"0 (0%)",SUMPRODUCT(LEN(E2:E26))&amp;" ("&amp;TEXT(SUMPRODUCT(LEN(E2:E26)-LEN(SUBSTITUTE(E2:E26,"W","")))/SUMPRODUCT(LEN(E2:E26)),"0%")&amp;")")</f>
        <v>11 (36%)</v>
      </c>
      <c r="F27" s="3" t="str" cm="1">
        <f t="array" ref="F27">IF(COUNTA(F2:F26)=0,"0 (0%)",SUMPRODUCT(LEN(F2:F26))&amp;" ("&amp;TEXT(SUMPRODUCT(LEN(F2:F26)-LEN(SUBSTITUTE(F2:F26,"W","")))/SUMPRODUCT(LEN(F2:F26)),"0%")&amp;")")</f>
        <v>12 (58%)</v>
      </c>
      <c r="G27" s="3" t="str" cm="1">
        <f t="array" ref="G27">IF(COUNTA(G2:G26)=0,"0 (0%)",SUMPRODUCT(LEN(G2:G26))&amp;" ("&amp;TEXT(SUMPRODUCT(LEN(G2:G26)-LEN(SUBSTITUTE(G2:G26,"W","")))/SUMPRODUCT(LEN(G2:G26)),"0%")&amp;")")</f>
        <v>12 (42%)</v>
      </c>
      <c r="H27" s="3" t="str" cm="1">
        <f t="array" ref="H27">IF(COUNTA(H2:H26)=0,"0 (0%)",SUMPRODUCT(LEN(H2:H26))&amp;" ("&amp;TEXT(SUMPRODUCT(LEN(H2:H26)-LEN(SUBSTITUTE(H2:H26,"W","")))/SUMPRODUCT(LEN(H2:H26)),"0%")&amp;")")</f>
        <v>12 (33%)</v>
      </c>
      <c r="I27" s="1" t="str" cm="1">
        <f t="array" ref="I27">IF(COUNTA(B2:H26)=0,"0 (0%)",SUMPRODUCT(LEN(B2:H26))&amp;" ("&amp;TEXT(SUMPRODUCT(LEN(B2:H26)-LEN(SUBSTITUTE(B2:H26,"W","")))/SUMPRODUCT(LEN(B2:H26)),"0%")&amp;")")</f>
        <v>82 (45%)</v>
      </c>
      <c r="J27" s="1" t="s">
        <v>132</v>
      </c>
      <c r="K27" s="1"/>
    </row>
  </sheetData>
  <sortState xmlns:xlrd2="http://schemas.microsoft.com/office/spreadsheetml/2017/richdata2" ref="A2:K26">
    <sortCondition sortBy="cellColor" ref="I2:I26" dxfId="17"/>
    <sortCondition sortBy="cellColor" ref="I2:I26" dxfId="16"/>
    <sortCondition sortBy="cellColor" ref="I2:I26" dxfId="15"/>
    <sortCondition sortBy="cellColor" ref="I2:I26" dxfId="14"/>
    <sortCondition descending="1" ref="I2:I26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BF4F-A630-4CC1-8D41-B2D4F7DDAEEC}">
  <dimension ref="A1:K26"/>
  <sheetViews>
    <sheetView zoomScale="75" workbookViewId="0">
      <selection activeCell="I31" sqref="I31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10.4375" customWidth="1"/>
    <col min="11" max="11" width="36" bestFit="1" customWidth="1"/>
  </cols>
  <sheetData>
    <row r="1" spans="1:11" x14ac:dyDescent="0.6">
      <c r="B1" s="13" t="s">
        <v>213</v>
      </c>
      <c r="C1" s="13" t="s">
        <v>214</v>
      </c>
      <c r="D1" s="13" t="s">
        <v>215</v>
      </c>
      <c r="E1" s="13" t="s">
        <v>216</v>
      </c>
      <c r="F1" s="13" t="s">
        <v>217</v>
      </c>
      <c r="G1" s="13" t="s">
        <v>218</v>
      </c>
      <c r="H1" s="13" t="s">
        <v>219</v>
      </c>
      <c r="I1" s="1" t="s">
        <v>50</v>
      </c>
      <c r="J1" s="1" t="s">
        <v>130</v>
      </c>
      <c r="K1" s="1" t="s">
        <v>20</v>
      </c>
    </row>
    <row r="2" spans="1:11" x14ac:dyDescent="0.6">
      <c r="A2" s="23" t="s">
        <v>222</v>
      </c>
      <c r="B2" s="21" t="s">
        <v>47</v>
      </c>
      <c r="C2" s="21" t="s">
        <v>47</v>
      </c>
      <c r="D2" s="21" t="s">
        <v>48</v>
      </c>
      <c r="E2" s="21" t="s">
        <v>47</v>
      </c>
      <c r="F2" s="21" t="s">
        <v>47</v>
      </c>
      <c r="G2" s="21" t="s">
        <v>47</v>
      </c>
      <c r="H2" s="21" t="s">
        <v>47</v>
      </c>
      <c r="I2" s="17" t="str" cm="1">
        <f t="array" ref="I2">IF(COUNTA(B2:H2)=0,"0 (0%)",SUMPRODUCT(LEN(B2:H2))&amp;" ("&amp;TEXT(SUMPRODUCT(LEN(B2:H2)-LEN(SUBSTITUTE(B2:H2,"W","")))/SUMPRODUCT(LEN(B2:H2)),"0%")&amp;")")</f>
        <v>7 (86%)</v>
      </c>
      <c r="J2" s="21" t="s">
        <v>166</v>
      </c>
      <c r="K2" s="21"/>
    </row>
    <row r="3" spans="1:11" x14ac:dyDescent="0.6">
      <c r="A3" s="23" t="s">
        <v>187</v>
      </c>
      <c r="B3" s="21" t="s">
        <v>47</v>
      </c>
      <c r="C3" s="21" t="s">
        <v>47</v>
      </c>
      <c r="D3" s="21" t="s">
        <v>47</v>
      </c>
      <c r="E3" s="21" t="s">
        <v>47</v>
      </c>
      <c r="F3" s="21" t="s">
        <v>48</v>
      </c>
      <c r="G3" s="21" t="s">
        <v>47</v>
      </c>
      <c r="H3" s="21" t="s">
        <v>48</v>
      </c>
      <c r="I3" s="17" t="str" cm="1">
        <f t="array" ref="I3">IF(COUNTA(B3:H3)=0,"0 (0%)",SUMPRODUCT(LEN(B3:H3))&amp;" ("&amp;TEXT(SUMPRODUCT(LEN(B3:H3)-LEN(SUBSTITUTE(B3:H3,"W","")))/SUMPRODUCT(LEN(B3:H3)),"0%")&amp;")")</f>
        <v>7 (71%)</v>
      </c>
      <c r="J3" s="21" t="s">
        <v>165</v>
      </c>
      <c r="K3" s="21"/>
    </row>
    <row r="4" spans="1:11" x14ac:dyDescent="0.6">
      <c r="A4" s="23" t="s">
        <v>223</v>
      </c>
      <c r="B4" s="3" t="s">
        <v>48</v>
      </c>
      <c r="C4" s="3"/>
      <c r="D4" s="3" t="s">
        <v>48</v>
      </c>
      <c r="E4" s="3" t="s">
        <v>48</v>
      </c>
      <c r="F4" s="3" t="s">
        <v>48</v>
      </c>
      <c r="G4" s="3" t="s">
        <v>47</v>
      </c>
      <c r="H4" s="3" t="s">
        <v>47</v>
      </c>
      <c r="I4" s="17" t="str" cm="1">
        <f t="array" ref="I4">IF(COUNTA(B4:H4)=0,"0 (0%)",SUMPRODUCT(LEN(B4:H4))&amp;" ("&amp;TEXT(SUMPRODUCT(LEN(B4:H4)-LEN(SUBSTITUTE(B4:H4,"W","")))/SUMPRODUCT(LEN(B4:H4)),"0%")&amp;")")</f>
        <v>6 (33%)</v>
      </c>
      <c r="J4" s="21" t="s">
        <v>162</v>
      </c>
      <c r="K4" s="3" t="s">
        <v>44</v>
      </c>
    </row>
    <row r="5" spans="1:11" x14ac:dyDescent="0.6">
      <c r="A5" s="23" t="s">
        <v>33</v>
      </c>
      <c r="B5" s="3" t="s">
        <v>47</v>
      </c>
      <c r="C5" s="3" t="s">
        <v>48</v>
      </c>
      <c r="D5" s="3" t="s">
        <v>47</v>
      </c>
      <c r="E5" s="3" t="s">
        <v>47</v>
      </c>
      <c r="F5" s="3"/>
      <c r="G5" s="3" t="s">
        <v>47</v>
      </c>
      <c r="H5" s="3"/>
      <c r="I5" s="17" t="str" cm="1">
        <f t="array" ref="I5">IF(COUNTA(B5:H5)=0,"0 (0%)",SUMPRODUCT(LEN(B5:H5))&amp;" ("&amp;TEXT(SUMPRODUCT(LEN(B5:H5)-LEN(SUBSTITUTE(B5:H5,"W","")))/SUMPRODUCT(LEN(B5:H5)),"0%")&amp;")")</f>
        <v>5 (80%)</v>
      </c>
      <c r="J5" s="21" t="s">
        <v>146</v>
      </c>
      <c r="K5" s="3" t="s">
        <v>41</v>
      </c>
    </row>
    <row r="6" spans="1:11" x14ac:dyDescent="0.6">
      <c r="A6" s="23" t="s">
        <v>208</v>
      </c>
      <c r="B6" s="3" t="s">
        <v>48</v>
      </c>
      <c r="C6" s="3" t="s">
        <v>47</v>
      </c>
      <c r="D6" s="3"/>
      <c r="E6" s="3" t="s">
        <v>47</v>
      </c>
      <c r="F6" s="3"/>
      <c r="G6" s="3" t="s">
        <v>48</v>
      </c>
      <c r="H6" s="3" t="s">
        <v>47</v>
      </c>
      <c r="I6" s="17" t="str" cm="1">
        <f t="array" ref="I6">IF(COUNTA(B6:H6)=0,"0 (0%)",SUMPRODUCT(LEN(B6:H6))&amp;" ("&amp;TEXT(SUMPRODUCT(LEN(B6:H6)-LEN(SUBSTITUTE(B6:H6,"W","")))/SUMPRODUCT(LEN(B6:H6)),"0%")&amp;")")</f>
        <v>5 (60%)</v>
      </c>
      <c r="J6" s="21" t="s">
        <v>155</v>
      </c>
      <c r="K6" s="3"/>
    </row>
    <row r="7" spans="1:11" x14ac:dyDescent="0.6">
      <c r="A7" s="23" t="s">
        <v>12</v>
      </c>
      <c r="B7" s="3" t="s">
        <v>48</v>
      </c>
      <c r="C7" s="3" t="s">
        <v>47</v>
      </c>
      <c r="D7" s="3" t="s">
        <v>48</v>
      </c>
      <c r="E7" s="3" t="s">
        <v>48</v>
      </c>
      <c r="F7" s="3" t="s">
        <v>47</v>
      </c>
      <c r="G7" s="3"/>
      <c r="H7" s="3"/>
      <c r="I7" s="17" t="str" cm="1">
        <f t="array" ref="I7">IF(COUNTA(B7:H7)=0,"0 (0%)",SUMPRODUCT(LEN(B7:H7))&amp;" ("&amp;TEXT(SUMPRODUCT(LEN(B7:H7)-LEN(SUBSTITUTE(B7:H7,"W","")))/SUMPRODUCT(LEN(B7:H7)),"0%")&amp;")")</f>
        <v>5 (40%)</v>
      </c>
      <c r="J7" s="21" t="s">
        <v>146</v>
      </c>
      <c r="K7" s="3"/>
    </row>
    <row r="8" spans="1:11" x14ac:dyDescent="0.6">
      <c r="A8" s="23" t="s">
        <v>121</v>
      </c>
      <c r="B8" s="3" t="s">
        <v>48</v>
      </c>
      <c r="C8" s="3" t="s">
        <v>48</v>
      </c>
      <c r="D8" s="3" t="s">
        <v>47</v>
      </c>
      <c r="E8" s="3"/>
      <c r="F8" s="3" t="s">
        <v>47</v>
      </c>
      <c r="G8" s="3"/>
      <c r="H8" s="3" t="s">
        <v>48</v>
      </c>
      <c r="I8" s="17" t="str" cm="1">
        <f t="array" ref="I8">IF(COUNTA(B8:H8)=0,"0 (0%)",SUMPRODUCT(LEN(B8:H8))&amp;" ("&amp;TEXT(SUMPRODUCT(LEN(B8:H8)-LEN(SUBSTITUTE(B8:H8,"W","")))/SUMPRODUCT(LEN(B8:H8)),"0%")&amp;")")</f>
        <v>5 (40%)</v>
      </c>
      <c r="J8" s="21" t="s">
        <v>146</v>
      </c>
      <c r="K8" s="3"/>
    </row>
    <row r="9" spans="1:11" x14ac:dyDescent="0.6">
      <c r="A9" s="23" t="s">
        <v>38</v>
      </c>
      <c r="B9" s="3" t="s">
        <v>47</v>
      </c>
      <c r="C9" s="3" t="s">
        <v>48</v>
      </c>
      <c r="D9" s="3"/>
      <c r="E9" s="3"/>
      <c r="F9" s="3" t="s">
        <v>48</v>
      </c>
      <c r="G9" s="3" t="s">
        <v>48</v>
      </c>
      <c r="H9" s="3" t="s">
        <v>48</v>
      </c>
      <c r="I9" s="17" t="str" cm="1">
        <f t="array" ref="I9">IF(COUNTA(B9:H9)=0,"0 (0%)",SUMPRODUCT(LEN(B9:H9))&amp;" ("&amp;TEXT(SUMPRODUCT(LEN(B9:H9)-LEN(SUBSTITUTE(B9:H9,"W","")))/SUMPRODUCT(LEN(B9:H9)),"0%")&amp;")")</f>
        <v>5 (20%)</v>
      </c>
      <c r="J9" s="21" t="s">
        <v>146</v>
      </c>
      <c r="K9" s="3"/>
    </row>
    <row r="10" spans="1:11" x14ac:dyDescent="0.6">
      <c r="A10" s="23" t="s">
        <v>109</v>
      </c>
      <c r="B10" s="3"/>
      <c r="C10" s="3" t="s">
        <v>48</v>
      </c>
      <c r="D10" s="3"/>
      <c r="E10" s="3" t="s">
        <v>48</v>
      </c>
      <c r="F10" s="3" t="s">
        <v>48</v>
      </c>
      <c r="G10" s="3" t="s">
        <v>48</v>
      </c>
      <c r="H10" s="3" t="s">
        <v>48</v>
      </c>
      <c r="I10" s="17" t="str" cm="1">
        <f t="array" ref="I10">IF(COUNTA(B10:H10)=0,"0 (0%)",SUMPRODUCT(LEN(B10:H10))&amp;" ("&amp;TEXT(SUMPRODUCT(LEN(B10:H10)-LEN(SUBSTITUTE(B10:H10,"W","")))/SUMPRODUCT(LEN(B10:H10)),"0%")&amp;")")</f>
        <v>5 (0%)</v>
      </c>
      <c r="J10" s="21" t="s">
        <v>164</v>
      </c>
      <c r="K10" s="3"/>
    </row>
    <row r="11" spans="1:11" x14ac:dyDescent="0.6">
      <c r="A11" s="25" t="s">
        <v>9</v>
      </c>
      <c r="B11" s="7"/>
      <c r="C11" s="7" t="s">
        <v>47</v>
      </c>
      <c r="D11" s="7" t="s">
        <v>48</v>
      </c>
      <c r="E11" s="7" t="s">
        <v>48</v>
      </c>
      <c r="F11" s="7"/>
      <c r="G11" s="7" t="s">
        <v>48</v>
      </c>
      <c r="H11" s="7"/>
      <c r="I11" s="18" t="str" cm="1">
        <f t="array" ref="I11">IF(COUNTA(B11:H11)=0,"0 (0%)",SUMPRODUCT(LEN(B11:H11))&amp;" ("&amp;TEXT(SUMPRODUCT(LEN(B11:H11)-LEN(SUBSTITUTE(B11:H11,"W","")))/SUMPRODUCT(LEN(B11:H11)),"0%")&amp;")")</f>
        <v>4 (25%)</v>
      </c>
      <c r="J11" s="16" t="s">
        <v>147</v>
      </c>
      <c r="K11" s="7"/>
    </row>
    <row r="12" spans="1:11" x14ac:dyDescent="0.6">
      <c r="A12" s="25" t="s">
        <v>32</v>
      </c>
      <c r="B12" s="7" t="s">
        <v>48</v>
      </c>
      <c r="C12" s="7"/>
      <c r="D12" s="7" t="s">
        <v>48</v>
      </c>
      <c r="E12" s="7"/>
      <c r="F12" s="7"/>
      <c r="G12" s="7" t="s">
        <v>48</v>
      </c>
      <c r="H12" s="7" t="s">
        <v>48</v>
      </c>
      <c r="I12" s="18" t="str" cm="1">
        <f t="array" ref="I12">IF(COUNTA(B12:H12)=0,"0 (0%)",SUMPRODUCT(LEN(B12:H12))&amp;" ("&amp;TEXT(SUMPRODUCT(LEN(B12:H12)-LEN(SUBSTITUTE(B12:H12,"W","")))/SUMPRODUCT(LEN(B12:H12)),"0%")&amp;")")</f>
        <v>4 (0%)</v>
      </c>
      <c r="J12" s="16" t="s">
        <v>147</v>
      </c>
      <c r="K12" s="7"/>
    </row>
    <row r="13" spans="1:11" x14ac:dyDescent="0.6">
      <c r="A13" s="25" t="s">
        <v>19</v>
      </c>
      <c r="B13" s="7"/>
      <c r="C13" s="7" t="s">
        <v>47</v>
      </c>
      <c r="D13" s="7"/>
      <c r="E13" s="7" t="s">
        <v>48</v>
      </c>
      <c r="F13" s="7" t="s">
        <v>48</v>
      </c>
      <c r="G13" s="7"/>
      <c r="H13" s="7"/>
      <c r="I13" s="18" t="str" cm="1">
        <f t="array" ref="I13">IF(COUNTA(B13:H13)=0,"0 (0%)",SUMPRODUCT(LEN(B13:H13))&amp;" ("&amp;TEXT(SUMPRODUCT(LEN(B13:H13)-LEN(SUBSTITUTE(B13:H13,"W","")))/SUMPRODUCT(LEN(B13:H13)),"0%")&amp;")")</f>
        <v>3 (33%)</v>
      </c>
      <c r="J13" s="16" t="s">
        <v>150</v>
      </c>
      <c r="K13" s="10" t="s">
        <v>169</v>
      </c>
    </row>
    <row r="14" spans="1:11" x14ac:dyDescent="0.6">
      <c r="A14" s="25" t="s">
        <v>5</v>
      </c>
      <c r="B14" s="7" t="s">
        <v>48</v>
      </c>
      <c r="C14" s="7"/>
      <c r="D14" s="7"/>
      <c r="E14" s="7"/>
      <c r="F14" s="7"/>
      <c r="G14" s="7"/>
      <c r="H14" s="7"/>
      <c r="I14" s="18" t="str" cm="1">
        <f t="array" ref="I14">IF(COUNTA(B14:H14)=0,"0 (0%)",SUMPRODUCT(LEN(B14:H14))&amp;" ("&amp;TEXT(SUMPRODUCT(LEN(B14:H14)-LEN(SUBSTITUTE(B14:H14,"W","")))/SUMPRODUCT(LEN(B14:H14)),"0%")&amp;")")</f>
        <v>1 (0%)</v>
      </c>
      <c r="J14" s="16" t="s">
        <v>147</v>
      </c>
      <c r="K14" s="7"/>
    </row>
    <row r="15" spans="1:11" x14ac:dyDescent="0.6">
      <c r="A15" s="25" t="s">
        <v>141</v>
      </c>
      <c r="B15" s="7"/>
      <c r="C15" s="7"/>
      <c r="D15" s="7" t="s">
        <v>48</v>
      </c>
      <c r="E15" s="7"/>
      <c r="F15" s="7"/>
      <c r="G15" s="7"/>
      <c r="H15" s="7"/>
      <c r="I15" s="18" t="str" cm="1">
        <f t="array" ref="I15">IF(COUNTA(B15:H15)=0,"0 (0%)",SUMPRODUCT(LEN(B15:H15))&amp;" ("&amp;TEXT(SUMPRODUCT(LEN(B15:H15)-LEN(SUBSTITUTE(B15:H15,"W","")))/SUMPRODUCT(LEN(B15:H15)),"0%")&amp;")")</f>
        <v>1 (0%)</v>
      </c>
      <c r="J15" s="7" t="s">
        <v>148</v>
      </c>
      <c r="K15" s="7"/>
    </row>
    <row r="16" spans="1:11" x14ac:dyDescent="0.6">
      <c r="A16" s="25" t="s">
        <v>55</v>
      </c>
      <c r="B16" s="7"/>
      <c r="C16" s="7"/>
      <c r="D16" s="7"/>
      <c r="E16" s="7"/>
      <c r="F16" s="7"/>
      <c r="G16" s="7"/>
      <c r="H16" s="7"/>
      <c r="I16" s="18" t="str" cm="1">
        <f t="array" ref="I16">IF(COUNTA(B16:H16)=0,"0 (0%)",SUMPRODUCT(LEN(B16:H16))&amp;" ("&amp;TEXT(SUMPRODUCT(LEN(B16:H16)-LEN(SUBSTITUTE(B16:H16,"W","")))/SUMPRODUCT(LEN(B16:H16)),"0%")&amp;")")</f>
        <v>0 (0%)</v>
      </c>
      <c r="J16" s="16" t="s">
        <v>190</v>
      </c>
      <c r="K16" s="7"/>
    </row>
    <row r="17" spans="1:11" x14ac:dyDescent="0.6">
      <c r="A17" s="24" t="s">
        <v>7</v>
      </c>
      <c r="B17" s="9" t="s">
        <v>47</v>
      </c>
      <c r="C17" s="9"/>
      <c r="D17" s="9" t="s">
        <v>48</v>
      </c>
      <c r="E17" s="9"/>
      <c r="F17" s="9" t="s">
        <v>48</v>
      </c>
      <c r="G17" s="9"/>
      <c r="H17" s="9" t="s">
        <v>48</v>
      </c>
      <c r="I17" s="19" t="str" cm="1">
        <f t="array" ref="I17">IF(COUNTA(B17:H17)=0,"0 (0%)",SUMPRODUCT(LEN(B17:H17))&amp;" ("&amp;TEXT(SUMPRODUCT(LEN(B17:H17)-LEN(SUBSTITUTE(B17:H17,"W","")))/SUMPRODUCT(LEN(B17:H17)),"0%")&amp;")")</f>
        <v>4 (25%)</v>
      </c>
      <c r="J17" s="22" t="s">
        <v>155</v>
      </c>
      <c r="K17" s="27" t="s">
        <v>69</v>
      </c>
    </row>
    <row r="18" spans="1:11" x14ac:dyDescent="0.6">
      <c r="A18" s="24" t="s">
        <v>221</v>
      </c>
      <c r="B18" s="9"/>
      <c r="C18" s="9"/>
      <c r="D18" s="9"/>
      <c r="E18" s="9" t="s">
        <v>47</v>
      </c>
      <c r="F18" s="9"/>
      <c r="G18" s="9" t="s">
        <v>47</v>
      </c>
      <c r="H18" s="9" t="s">
        <v>47</v>
      </c>
      <c r="I18" s="19" t="str" cm="1">
        <f t="array" ref="I18">IF(COUNTA(B18:H18)=0,"0 (0%)",SUMPRODUCT(LEN(B18:H18))&amp;" ("&amp;TEXT(SUMPRODUCT(LEN(B18:H18)-LEN(SUBSTITUTE(B18:H18,"W","")))/SUMPRODUCT(LEN(B18:H18)),"0%")&amp;")")</f>
        <v>3 (100%)</v>
      </c>
      <c r="J18" s="22" t="s">
        <v>149</v>
      </c>
      <c r="K18" s="9" t="s">
        <v>43</v>
      </c>
    </row>
    <row r="19" spans="1:11" x14ac:dyDescent="0.6">
      <c r="A19" s="24" t="s">
        <v>18</v>
      </c>
      <c r="B19" s="9"/>
      <c r="C19" s="9"/>
      <c r="D19" s="9"/>
      <c r="E19" s="9"/>
      <c r="F19" s="9"/>
      <c r="G19" s="9"/>
      <c r="H19" s="9"/>
      <c r="I19" s="19" t="str" cm="1">
        <f t="array" ref="I19">IF(COUNTA(B19:H19)=0,"0 (0%)",SUMPRODUCT(LEN(B19:H19))&amp;" ("&amp;TEXT(SUMPRODUCT(LEN(B19:H19)-LEN(SUBSTITUTE(B19:H19,"W","")))/SUMPRODUCT(LEN(B19:H19)),"0%")&amp;")")</f>
        <v>0 (0%)</v>
      </c>
      <c r="J19" s="22" t="s">
        <v>153</v>
      </c>
      <c r="K19" s="9" t="s">
        <v>104</v>
      </c>
    </row>
    <row r="20" spans="1:11" x14ac:dyDescent="0.6">
      <c r="A20" s="26" t="s">
        <v>2</v>
      </c>
      <c r="B20" s="5" t="s">
        <v>47</v>
      </c>
      <c r="C20" s="5" t="s">
        <v>48</v>
      </c>
      <c r="D20" s="5" t="s">
        <v>48</v>
      </c>
      <c r="E20" s="5" t="s">
        <v>47</v>
      </c>
      <c r="F20" s="5" t="s">
        <v>48</v>
      </c>
      <c r="G20" s="5" t="s">
        <v>48</v>
      </c>
      <c r="H20" s="5" t="s">
        <v>47</v>
      </c>
      <c r="I20" s="20" t="str" cm="1">
        <f t="array" ref="I20">IF(COUNTA(B20:H20)=0,"0 (0%)",SUMPRODUCT(LEN(B20:H20))&amp;" ("&amp;TEXT(SUMPRODUCT(LEN(B20:H20)-LEN(SUBSTITUTE(B20:H20,"W","")))/SUMPRODUCT(LEN(B20:H20)),"0%")&amp;")")</f>
        <v>7 (43%)</v>
      </c>
      <c r="J20" s="12" t="s">
        <v>220</v>
      </c>
      <c r="K20" s="5" t="s">
        <v>125</v>
      </c>
    </row>
    <row r="21" spans="1:11" x14ac:dyDescent="0.6">
      <c r="A21" s="26" t="s">
        <v>140</v>
      </c>
      <c r="B21" s="5"/>
      <c r="C21" s="5" t="s">
        <v>47</v>
      </c>
      <c r="D21" s="5" t="s">
        <v>47</v>
      </c>
      <c r="E21" s="5" t="s">
        <v>47</v>
      </c>
      <c r="F21" s="5" t="s">
        <v>48</v>
      </c>
      <c r="G21" s="5" t="s">
        <v>48</v>
      </c>
      <c r="H21" s="5" t="s">
        <v>48</v>
      </c>
      <c r="I21" s="20" t="str" cm="1">
        <f t="array" ref="I21">IF(COUNTA(B21:H21)=0,"0 (0%)",SUMPRODUCT(LEN(B21:H21))&amp;" ("&amp;TEXT(SUMPRODUCT(LEN(B21:H21)-LEN(SUBSTITUTE(B21:H21,"W","")))/SUMPRODUCT(LEN(B21:H21)),"0%")&amp;")")</f>
        <v>6 (50%)</v>
      </c>
      <c r="J21" s="12" t="s">
        <v>167</v>
      </c>
      <c r="K21" s="5" t="s">
        <v>89</v>
      </c>
    </row>
    <row r="22" spans="1:11" x14ac:dyDescent="0.6">
      <c r="A22" s="26" t="s">
        <v>85</v>
      </c>
      <c r="B22" s="5"/>
      <c r="C22" s="5"/>
      <c r="D22" s="5"/>
      <c r="E22" s="5"/>
      <c r="F22" s="5" t="s">
        <v>48</v>
      </c>
      <c r="G22" s="5"/>
      <c r="H22" s="5"/>
      <c r="I22" s="20" t="str" cm="1">
        <f t="array" ref="I22">IF(COUNTA(B22:H22)=0,"0 (0%)",SUMPRODUCT(LEN(B22:H22))&amp;" ("&amp;TEXT(SUMPRODUCT(LEN(B22:H22)-LEN(SUBSTITUTE(B22:H22,"W","")))/SUMPRODUCT(LEN(B22:H22)),"0%")&amp;")")</f>
        <v>1 (0%)</v>
      </c>
      <c r="J22" s="12" t="s">
        <v>155</v>
      </c>
      <c r="K22" s="5" t="s">
        <v>89</v>
      </c>
    </row>
    <row r="23" spans="1:11" x14ac:dyDescent="0.6">
      <c r="A23" s="26" t="s">
        <v>84</v>
      </c>
      <c r="B23" s="5"/>
      <c r="C23" s="5"/>
      <c r="D23" s="5"/>
      <c r="E23" s="5"/>
      <c r="F23" s="5"/>
      <c r="G23" s="5"/>
      <c r="H23" s="5"/>
      <c r="I23" s="20" t="str" cm="1">
        <f t="array" ref="I23">IF(COUNTA(B23:H23)=0,"0 (0%)",SUMPRODUCT(LEN(B23:H23))&amp;" ("&amp;TEXT(SUMPRODUCT(LEN(B23:H23)-LEN(SUBSTITUTE(B23:H23,"W","")))/SUMPRODUCT(LEN(B23:H23)),"0%")&amp;")")</f>
        <v>0 (0%)</v>
      </c>
      <c r="J23" s="12" t="s">
        <v>166</v>
      </c>
      <c r="K23" s="5" t="s">
        <v>170</v>
      </c>
    </row>
    <row r="24" spans="1:11" x14ac:dyDescent="0.6">
      <c r="A24" s="26" t="s">
        <v>3</v>
      </c>
      <c r="B24" s="12"/>
      <c r="C24" s="12"/>
      <c r="D24" s="12"/>
      <c r="E24" s="12"/>
      <c r="F24" s="12"/>
      <c r="G24" s="12"/>
      <c r="H24" s="12"/>
      <c r="I24" s="20" t="str" cm="1">
        <f t="array" ref="I24">IF(COUNTA(B24:H24)=0,"0 (0%)",SUMPRODUCT(LEN(B24:H24))&amp;" ("&amp;TEXT(SUMPRODUCT(LEN(B24:H24)-LEN(SUBSTITUTE(B24:H24,"W","")))/SUMPRODUCT(LEN(B24:H24)),"0%")&amp;")")</f>
        <v>0 (0%)</v>
      </c>
      <c r="J24" s="12" t="s">
        <v>166</v>
      </c>
      <c r="K24" s="5" t="s">
        <v>124</v>
      </c>
    </row>
    <row r="25" spans="1:11" x14ac:dyDescent="0.6">
      <c r="A25" s="26" t="s">
        <v>0</v>
      </c>
      <c r="B25" s="5"/>
      <c r="C25" s="5"/>
      <c r="D25" s="5"/>
      <c r="E25" s="5"/>
      <c r="F25" s="5"/>
      <c r="G25" s="5"/>
      <c r="H25" s="5"/>
      <c r="I25" s="20" t="str" cm="1">
        <f t="array" ref="I25">IF(COUNTA(B25:H25)=0,"0 (0%)",SUMPRODUCT(LEN(B25:H25))&amp;" ("&amp;TEXT(SUMPRODUCT(LEN(B25:H25)-LEN(SUBSTITUTE(B25:H25,"W","")))/SUMPRODUCT(LEN(B25:H25)),"0%")&amp;")")</f>
        <v>0 (0%)</v>
      </c>
      <c r="J25" s="12" t="s">
        <v>166</v>
      </c>
      <c r="K25" s="5" t="s">
        <v>123</v>
      </c>
    </row>
    <row r="26" spans="1:11" x14ac:dyDescent="0.6">
      <c r="A26" s="14" t="s">
        <v>50</v>
      </c>
      <c r="B26" s="3" t="str" cm="1">
        <f t="array" ref="B26">IF(COUNTA(B2:B25)=0,"0 (0%)",SUMPRODUCT(LEN(B2:B25))&amp;" ("&amp;TEXT(SUMPRODUCT(LEN(B2:B25)-LEN(SUBSTITUTE(B2:B25,"W","")))/SUMPRODUCT(LEN(B2:B25)),"0%")&amp;")")</f>
        <v>12 (50%)</v>
      </c>
      <c r="C26" s="3" t="str" cm="1">
        <f t="array" ref="C26">IF(COUNTA(C2:C25)=0,"0 (0%)",SUMPRODUCT(LEN(C2:C25))&amp;" ("&amp;TEXT(SUMPRODUCT(LEN(C2:C25)-LEN(SUBSTITUTE(C2:C25,"W","")))/SUMPRODUCT(LEN(C2:C25)),"0%")&amp;")")</f>
        <v>12 (58%)</v>
      </c>
      <c r="D26" s="3" t="str" cm="1">
        <f t="array" ref="D26">IF(COUNTA(D2:D25)=0,"0 (0%)",SUMPRODUCT(LEN(D2:D25))&amp;" ("&amp;TEXT(SUMPRODUCT(LEN(D2:D25)-LEN(SUBSTITUTE(D2:D25,"W","")))/SUMPRODUCT(LEN(D2:D25)),"0%")&amp;")")</f>
        <v>12 (33%)</v>
      </c>
      <c r="E26" s="3" t="str" cm="1">
        <f t="array" ref="E26">IF(COUNTA(E2:E25)=0,"0 (0%)",SUMPRODUCT(LEN(E2:E25))&amp;" ("&amp;TEXT(SUMPRODUCT(LEN(E2:E25)-LEN(SUBSTITUTE(E2:E25,"W","")))/SUMPRODUCT(LEN(E2:E25)),"0%")&amp;")")</f>
        <v>12 (58%)</v>
      </c>
      <c r="F26" s="3" t="str" cm="1">
        <f t="array" ref="F26">IF(COUNTA(F2:F25)=0,"0 (0%)",SUMPRODUCT(LEN(F2:F25))&amp;" ("&amp;TEXT(SUMPRODUCT(LEN(F2:F25)-LEN(SUBSTITUTE(F2:F25,"W","")))/SUMPRODUCT(LEN(F2:F25)),"0%")&amp;")")</f>
        <v>12 (25%)</v>
      </c>
      <c r="G26" s="3" t="str" cm="1">
        <f t="array" ref="G26">IF(COUNTA(G2:G25)=0,"0 (0%)",SUMPRODUCT(LEN(G2:G25))&amp;" ("&amp;TEXT(SUMPRODUCT(LEN(G2:G25)-LEN(SUBSTITUTE(G2:G25,"W","")))/SUMPRODUCT(LEN(G2:G25)),"0%")&amp;")")</f>
        <v>12 (42%)</v>
      </c>
      <c r="H26" s="3" t="str" cm="1">
        <f t="array" ref="H26">IF(COUNTA(H2:H25)=0,"0 (0%)",SUMPRODUCT(LEN(H2:H25))&amp;" ("&amp;TEXT(SUMPRODUCT(LEN(H2:H25)-LEN(SUBSTITUTE(H2:H25,"W","")))/SUMPRODUCT(LEN(H2:H25)),"0%")&amp;")")</f>
        <v>12 (42%)</v>
      </c>
      <c r="I26" s="1" t="str" cm="1">
        <f t="array" ref="I26">IF(COUNTA(B2:H25)=0,"0 (0%)",SUMPRODUCT(LEN(B2:H25))&amp;" ("&amp;TEXT(SUMPRODUCT(LEN(B2:H25)-LEN(SUBSTITUTE(B2:H25,"W","")))/SUMPRODUCT(LEN(B2:H25)),"0%")&amp;")")</f>
        <v>84 (44%)</v>
      </c>
      <c r="J26" s="1" t="s">
        <v>132</v>
      </c>
      <c r="K26" s="1"/>
    </row>
  </sheetData>
  <sortState xmlns:xlrd2="http://schemas.microsoft.com/office/spreadsheetml/2017/richdata2" ref="A2:K25">
    <sortCondition sortBy="cellColor" ref="I2:I25" dxfId="13"/>
    <sortCondition sortBy="cellColor" ref="I2:I25" dxfId="12"/>
    <sortCondition sortBy="cellColor" ref="I2:I25" dxfId="11"/>
    <sortCondition sortBy="cellColor" ref="I2:I25" dxfId="10"/>
    <sortCondition descending="1" ref="I2:I25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F66D-ECF3-4F2B-A781-87F563FD2918}">
  <dimension ref="A1:K26"/>
  <sheetViews>
    <sheetView zoomScale="75" workbookViewId="0">
      <selection activeCell="H34" sqref="H34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10.4375" customWidth="1"/>
    <col min="11" max="11" width="36" bestFit="1" customWidth="1"/>
  </cols>
  <sheetData>
    <row r="1" spans="1:11" x14ac:dyDescent="0.6">
      <c r="B1" s="13" t="s">
        <v>228</v>
      </c>
      <c r="C1" s="13" t="s">
        <v>229</v>
      </c>
      <c r="D1" s="10" t="s">
        <v>230</v>
      </c>
      <c r="E1" s="13" t="s">
        <v>231</v>
      </c>
      <c r="F1" s="13" t="s">
        <v>232</v>
      </c>
      <c r="G1" s="13" t="s">
        <v>233</v>
      </c>
      <c r="H1" s="13" t="s">
        <v>234</v>
      </c>
      <c r="I1" s="1" t="s">
        <v>50</v>
      </c>
      <c r="J1" s="1" t="s">
        <v>130</v>
      </c>
      <c r="K1" s="1" t="s">
        <v>20</v>
      </c>
    </row>
    <row r="2" spans="1:11" x14ac:dyDescent="0.6">
      <c r="A2" s="23" t="s">
        <v>223</v>
      </c>
      <c r="B2" s="3" t="s">
        <v>48</v>
      </c>
      <c r="C2" s="3" t="s">
        <v>47</v>
      </c>
      <c r="D2" s="3" t="s">
        <v>47</v>
      </c>
      <c r="E2" s="3" t="s">
        <v>47</v>
      </c>
      <c r="F2" s="3" t="s">
        <v>75</v>
      </c>
      <c r="G2" s="3" t="s">
        <v>75</v>
      </c>
      <c r="H2" s="3" t="s">
        <v>49</v>
      </c>
      <c r="I2" s="17" t="str" cm="1">
        <f t="array" ref="I2">IF(COUNTA(B2:H2)=0,"0 (0%)",SUMPRODUCT(LEN(B2:H2))&amp;" ("&amp;TEXT(SUMPRODUCT(LEN(B2:H2)-LEN(SUBSTITUTE(B2:H2,"W","")))/SUMPRODUCT(LEN(B2:H2)),"0%")&amp;")")</f>
        <v>10 (50%)</v>
      </c>
      <c r="J2" s="21" t="s">
        <v>189</v>
      </c>
      <c r="K2" s="3" t="s">
        <v>44</v>
      </c>
    </row>
    <row r="3" spans="1:11" x14ac:dyDescent="0.6">
      <c r="A3" s="23" t="s">
        <v>222</v>
      </c>
      <c r="B3" s="21" t="s">
        <v>48</v>
      </c>
      <c r="C3" s="21" t="s">
        <v>48</v>
      </c>
      <c r="D3" s="21" t="s">
        <v>47</v>
      </c>
      <c r="E3" s="21" t="s">
        <v>47</v>
      </c>
      <c r="F3" s="21" t="s">
        <v>48</v>
      </c>
      <c r="G3" s="21" t="s">
        <v>47</v>
      </c>
      <c r="H3" s="21" t="s">
        <v>48</v>
      </c>
      <c r="I3" s="17" t="str" cm="1">
        <f t="array" ref="I3">IF(COUNTA(B3:H3)=0,"0 (0%)",SUMPRODUCT(LEN(B3:H3))&amp;" ("&amp;TEXT(SUMPRODUCT(LEN(B3:H3)-LEN(SUBSTITUTE(B3:H3,"W","")))/SUMPRODUCT(LEN(B3:H3)),"0%")&amp;")")</f>
        <v>7 (43%)</v>
      </c>
      <c r="J3" s="21" t="s">
        <v>143</v>
      </c>
      <c r="K3" s="21"/>
    </row>
    <row r="4" spans="1:11" x14ac:dyDescent="0.6">
      <c r="A4" s="23" t="s">
        <v>55</v>
      </c>
      <c r="B4" s="3" t="s">
        <v>47</v>
      </c>
      <c r="C4" s="3" t="s">
        <v>47</v>
      </c>
      <c r="D4" s="3" t="s">
        <v>47</v>
      </c>
      <c r="E4" s="3" t="s">
        <v>48</v>
      </c>
      <c r="F4" s="3" t="s">
        <v>47</v>
      </c>
      <c r="G4" s="3" t="s">
        <v>48</v>
      </c>
      <c r="H4" s="3"/>
      <c r="I4" s="17" t="str" cm="1">
        <f t="array" ref="I4">IF(COUNTA(B4:H4)=0,"0 (0%)",SUMPRODUCT(LEN(B4:H4))&amp;" ("&amp;TEXT(SUMPRODUCT(LEN(B4:H4)-LEN(SUBSTITUTE(B4:H4,"W","")))/SUMPRODUCT(LEN(B4:H4)),"0%")&amp;")")</f>
        <v>6 (67%)</v>
      </c>
      <c r="J4" s="21" t="s">
        <v>166</v>
      </c>
      <c r="K4" s="3"/>
    </row>
    <row r="5" spans="1:11" x14ac:dyDescent="0.6">
      <c r="A5" s="23" t="s">
        <v>33</v>
      </c>
      <c r="B5" s="3" t="s">
        <v>47</v>
      </c>
      <c r="C5" s="3"/>
      <c r="D5" s="3" t="s">
        <v>47</v>
      </c>
      <c r="E5" s="3" t="s">
        <v>48</v>
      </c>
      <c r="F5" s="3" t="s">
        <v>47</v>
      </c>
      <c r="G5" s="3" t="s">
        <v>47</v>
      </c>
      <c r="H5" s="3" t="s">
        <v>48</v>
      </c>
      <c r="I5" s="17" t="str" cm="1">
        <f t="array" ref="I5">IF(COUNTA(B5:H5)=0,"0 (0%)",SUMPRODUCT(LEN(B5:H5))&amp;" ("&amp;TEXT(SUMPRODUCT(LEN(B5:H5)-LEN(SUBSTITUTE(B5:H5,"W","")))/SUMPRODUCT(LEN(B5:H5)),"0%")&amp;")")</f>
        <v>6 (67%)</v>
      </c>
      <c r="J5" s="21" t="s">
        <v>163</v>
      </c>
      <c r="K5" s="3" t="s">
        <v>41</v>
      </c>
    </row>
    <row r="6" spans="1:11" x14ac:dyDescent="0.6">
      <c r="A6" s="23" t="s">
        <v>208</v>
      </c>
      <c r="B6" s="3"/>
      <c r="C6" s="3"/>
      <c r="D6" s="3" t="s">
        <v>75</v>
      </c>
      <c r="E6" s="3" t="s">
        <v>47</v>
      </c>
      <c r="F6" s="3"/>
      <c r="G6" s="3" t="s">
        <v>67</v>
      </c>
      <c r="H6" s="3"/>
      <c r="I6" s="17" t="str" cm="1">
        <f t="array" ref="I6">IF(COUNTA(B6:H6)=0,"0 (0%)",SUMPRODUCT(LEN(B6:H6))&amp;" ("&amp;TEXT(SUMPRODUCT(LEN(B6:H6)-LEN(SUBSTITUTE(B6:H6,"W","")))/SUMPRODUCT(LEN(B6:H6)),"0%")&amp;")")</f>
        <v>5 (80%)</v>
      </c>
      <c r="J6" s="21" t="s">
        <v>164</v>
      </c>
      <c r="K6" s="3"/>
    </row>
    <row r="7" spans="1:11" x14ac:dyDescent="0.6">
      <c r="A7" s="23" t="s">
        <v>121</v>
      </c>
      <c r="B7" s="3" t="s">
        <v>47</v>
      </c>
      <c r="C7" s="3"/>
      <c r="D7" s="3" t="s">
        <v>47</v>
      </c>
      <c r="E7" s="3" t="s">
        <v>48</v>
      </c>
      <c r="F7" s="3" t="s">
        <v>47</v>
      </c>
      <c r="G7" s="3"/>
      <c r="H7" s="3" t="s">
        <v>47</v>
      </c>
      <c r="I7" s="17" t="str" cm="1">
        <f t="array" ref="I7">IF(COUNTA(B7:H7)=0,"0 (0%)",SUMPRODUCT(LEN(B7:H7))&amp;" ("&amp;TEXT(SUMPRODUCT(LEN(B7:H7)-LEN(SUBSTITUTE(B7:H7,"W","")))/SUMPRODUCT(LEN(B7:H7)),"0%")&amp;")")</f>
        <v>5 (80%)</v>
      </c>
      <c r="J7" s="21" t="s">
        <v>146</v>
      </c>
      <c r="K7" s="3"/>
    </row>
    <row r="8" spans="1:11" x14ac:dyDescent="0.6">
      <c r="A8" s="23" t="s">
        <v>38</v>
      </c>
      <c r="B8" s="3" t="s">
        <v>48</v>
      </c>
      <c r="C8" s="3" t="s">
        <v>47</v>
      </c>
      <c r="D8" s="3"/>
      <c r="E8" s="3" t="s">
        <v>48</v>
      </c>
      <c r="F8" s="3" t="s">
        <v>47</v>
      </c>
      <c r="G8" s="3"/>
      <c r="H8" s="3" t="s">
        <v>48</v>
      </c>
      <c r="I8" s="17" t="str" cm="1">
        <f t="array" ref="I8">IF(COUNTA(B8:H8)=0,"0 (0%)",SUMPRODUCT(LEN(B8:H8))&amp;" ("&amp;TEXT(SUMPRODUCT(LEN(B8:H8)-LEN(SUBSTITUTE(B8:H8,"W","")))/SUMPRODUCT(LEN(B8:H8)),"0%")&amp;")")</f>
        <v>5 (40%)</v>
      </c>
      <c r="J8" s="21" t="s">
        <v>147</v>
      </c>
      <c r="K8" s="3"/>
    </row>
    <row r="9" spans="1:11" x14ac:dyDescent="0.6">
      <c r="A9" s="23" t="s">
        <v>32</v>
      </c>
      <c r="B9" s="3" t="s">
        <v>48</v>
      </c>
      <c r="C9" s="3" t="s">
        <v>47</v>
      </c>
      <c r="D9" s="3" t="s">
        <v>47</v>
      </c>
      <c r="E9" s="3"/>
      <c r="F9" s="3" t="s">
        <v>48</v>
      </c>
      <c r="G9" s="3"/>
      <c r="H9" s="3" t="s">
        <v>48</v>
      </c>
      <c r="I9" s="17" t="str" cm="1">
        <f t="array" ref="I9">IF(COUNTA(B9:H9)=0,"0 (0%)",SUMPRODUCT(LEN(B9:H9))&amp;" ("&amp;TEXT(SUMPRODUCT(LEN(B9:H9)-LEN(SUBSTITUTE(B9:H9,"W","")))/SUMPRODUCT(LEN(B9:H9)),"0%")&amp;")")</f>
        <v>5 (40%)</v>
      </c>
      <c r="J9" s="21" t="s">
        <v>185</v>
      </c>
      <c r="K9" s="3"/>
    </row>
    <row r="10" spans="1:11" x14ac:dyDescent="0.6">
      <c r="A10" s="25" t="s">
        <v>9</v>
      </c>
      <c r="B10" s="7"/>
      <c r="C10" s="7" t="s">
        <v>47</v>
      </c>
      <c r="D10" s="7"/>
      <c r="E10" s="7"/>
      <c r="F10" s="7" t="s">
        <v>47</v>
      </c>
      <c r="G10" s="7" t="s">
        <v>47</v>
      </c>
      <c r="H10" s="7" t="s">
        <v>48</v>
      </c>
      <c r="I10" s="18" t="str" cm="1">
        <f t="array" ref="I10">IF(COUNTA(B10:H10)=0,"0 (0%)",SUMPRODUCT(LEN(B10:H10))&amp;" ("&amp;TEXT(SUMPRODUCT(LEN(B10:H10)-LEN(SUBSTITUTE(B10:H10,"W","")))/SUMPRODUCT(LEN(B10:H10)),"0%")&amp;")")</f>
        <v>4 (75%)</v>
      </c>
      <c r="J10" s="16" t="s">
        <v>152</v>
      </c>
      <c r="K10" s="7"/>
    </row>
    <row r="11" spans="1:11" x14ac:dyDescent="0.6">
      <c r="A11" s="25" t="s">
        <v>12</v>
      </c>
      <c r="B11" s="7" t="s">
        <v>47</v>
      </c>
      <c r="C11" s="7"/>
      <c r="D11" s="7" t="s">
        <v>47</v>
      </c>
      <c r="E11" s="7" t="s">
        <v>48</v>
      </c>
      <c r="F11" s="7"/>
      <c r="G11" s="7"/>
      <c r="H11" s="7" t="s">
        <v>48</v>
      </c>
      <c r="I11" s="18" t="str" cm="1">
        <f t="array" ref="I11">IF(COUNTA(B11:H11)=0,"0 (0%)",SUMPRODUCT(LEN(B11:H11))&amp;" ("&amp;TEXT(SUMPRODUCT(LEN(B11:H11)-LEN(SUBSTITUTE(B11:H11,"W","")))/SUMPRODUCT(LEN(B11:H11)),"0%")&amp;")")</f>
        <v>4 (50%)</v>
      </c>
      <c r="J11" s="16" t="s">
        <v>146</v>
      </c>
      <c r="K11" s="7"/>
    </row>
    <row r="12" spans="1:11" x14ac:dyDescent="0.6">
      <c r="A12" s="25" t="s">
        <v>19</v>
      </c>
      <c r="B12" s="7"/>
      <c r="C12" s="7" t="s">
        <v>48</v>
      </c>
      <c r="D12" s="7"/>
      <c r="E12" s="7" t="s">
        <v>48</v>
      </c>
      <c r="F12" s="7" t="s">
        <v>48</v>
      </c>
      <c r="G12" s="7" t="s">
        <v>48</v>
      </c>
      <c r="H12" s="7"/>
      <c r="I12" s="18" t="str" cm="1">
        <f t="array" ref="I12">IF(COUNTA(B12:H12)=0,"0 (0%)",SUMPRODUCT(LEN(B12:H12))&amp;" ("&amp;TEXT(SUMPRODUCT(LEN(B12:H12)-LEN(SUBSTITUTE(B12:H12,"W","")))/SUMPRODUCT(LEN(B12:H12)),"0%")&amp;")")</f>
        <v>4 (0%)</v>
      </c>
      <c r="J12" s="16" t="s">
        <v>148</v>
      </c>
      <c r="K12" s="10" t="s">
        <v>169</v>
      </c>
    </row>
    <row r="13" spans="1:11" x14ac:dyDescent="0.6">
      <c r="A13" s="25" t="s">
        <v>109</v>
      </c>
      <c r="B13" s="7"/>
      <c r="C13" s="7" t="s">
        <v>47</v>
      </c>
      <c r="D13" s="7" t="s">
        <v>48</v>
      </c>
      <c r="E13" s="7"/>
      <c r="F13" s="7"/>
      <c r="G13" s="7" t="s">
        <v>48</v>
      </c>
      <c r="H13" s="7"/>
      <c r="I13" s="18" t="str" cm="1">
        <f t="array" ref="I13">IF(COUNTA(B13:H13)=0,"0 (0%)",SUMPRODUCT(LEN(B13:H13))&amp;" ("&amp;TEXT(SUMPRODUCT(LEN(B13:H13)-LEN(SUBSTITUTE(B13:H13,"W","")))/SUMPRODUCT(LEN(B13:H13)),"0%")&amp;")")</f>
        <v>3 (33%)</v>
      </c>
      <c r="J13" s="16" t="s">
        <v>181</v>
      </c>
      <c r="K13" s="7"/>
    </row>
    <row r="14" spans="1:11" x14ac:dyDescent="0.6">
      <c r="A14" s="25" t="s">
        <v>187</v>
      </c>
      <c r="B14" s="16"/>
      <c r="C14" s="16" t="s">
        <v>48</v>
      </c>
      <c r="D14" s="16"/>
      <c r="E14" s="16"/>
      <c r="F14" s="16"/>
      <c r="G14" s="16"/>
      <c r="H14" s="16" t="s">
        <v>47</v>
      </c>
      <c r="I14" s="18" t="str" cm="1">
        <f t="array" ref="I14">IF(COUNTA(B14:H14)=0,"0 (0%)",SUMPRODUCT(LEN(B14:H14))&amp;" ("&amp;TEXT(SUMPRODUCT(LEN(B14:H14)-LEN(SUBSTITUTE(B14:H14,"W","")))/SUMPRODUCT(LEN(B14:H14)),"0%")&amp;")")</f>
        <v>2 (50%)</v>
      </c>
      <c r="J14" s="16" t="s">
        <v>220</v>
      </c>
      <c r="K14" s="16"/>
    </row>
    <row r="15" spans="1:11" x14ac:dyDescent="0.6">
      <c r="A15" s="25" t="s">
        <v>5</v>
      </c>
      <c r="B15" s="7" t="s">
        <v>48</v>
      </c>
      <c r="C15" s="7"/>
      <c r="D15" s="7"/>
      <c r="E15" s="7"/>
      <c r="F15" s="7"/>
      <c r="G15" s="7"/>
      <c r="H15" s="7"/>
      <c r="I15" s="18" t="str" cm="1">
        <f t="array" ref="I15">IF(COUNTA(B15:H15)=0,"0 (0%)",SUMPRODUCT(LEN(B15:H15))&amp;" ("&amp;TEXT(SUMPRODUCT(LEN(B15:H15)-LEN(SUBSTITUTE(B15:H15,"W","")))/SUMPRODUCT(LEN(B15:H15)),"0%")&amp;")")</f>
        <v>1 (0%)</v>
      </c>
      <c r="J15" s="16" t="s">
        <v>168</v>
      </c>
      <c r="K15" s="7"/>
    </row>
    <row r="16" spans="1:11" x14ac:dyDescent="0.6">
      <c r="A16" s="25" t="s">
        <v>141</v>
      </c>
      <c r="B16" s="7" t="s">
        <v>48</v>
      </c>
      <c r="C16" s="7"/>
      <c r="D16" s="7"/>
      <c r="E16" s="7"/>
      <c r="F16" s="7"/>
      <c r="G16" s="7"/>
      <c r="H16" s="7"/>
      <c r="I16" s="18" t="str" cm="1">
        <f t="array" ref="I16">IF(COUNTA(B16:H16)=0,"0 (0%)",SUMPRODUCT(LEN(B16:H16))&amp;" ("&amp;TEXT(SUMPRODUCT(LEN(B16:H16)-LEN(SUBSTITUTE(B16:H16,"W","")))/SUMPRODUCT(LEN(B16:H16)),"0%")&amp;")")</f>
        <v>1 (0%)</v>
      </c>
      <c r="J16" s="7" t="s">
        <v>168</v>
      </c>
      <c r="K16" s="7"/>
    </row>
    <row r="17" spans="1:11" x14ac:dyDescent="0.6">
      <c r="A17" s="24" t="s">
        <v>7</v>
      </c>
      <c r="B17" s="9"/>
      <c r="C17" s="9" t="s">
        <v>48</v>
      </c>
      <c r="D17" s="9"/>
      <c r="E17" s="9" t="s">
        <v>47</v>
      </c>
      <c r="F17" s="9"/>
      <c r="G17" s="9" t="s">
        <v>47</v>
      </c>
      <c r="H17" s="9"/>
      <c r="I17" s="19" t="str" cm="1">
        <f t="array" ref="I17">IF(COUNTA(B17:H17)=0,"0 (0%)",SUMPRODUCT(LEN(B17:H17))&amp;" ("&amp;TEXT(SUMPRODUCT(LEN(B17:H17)-LEN(SUBSTITUTE(B17:H17,"W","")))/SUMPRODUCT(LEN(B17:H17)),"0%")&amp;")")</f>
        <v>3 (67%)</v>
      </c>
      <c r="J17" s="22" t="s">
        <v>152</v>
      </c>
      <c r="K17" s="27" t="s">
        <v>69</v>
      </c>
    </row>
    <row r="18" spans="1:11" x14ac:dyDescent="0.6">
      <c r="A18" s="24" t="s">
        <v>221</v>
      </c>
      <c r="B18" s="9"/>
      <c r="C18" s="9" t="s">
        <v>48</v>
      </c>
      <c r="D18" s="9"/>
      <c r="E18" s="9" t="s">
        <v>47</v>
      </c>
      <c r="F18" s="9"/>
      <c r="G18" s="9"/>
      <c r="H18" s="9" t="s">
        <v>47</v>
      </c>
      <c r="I18" s="19" t="str" cm="1">
        <f t="array" ref="I18">IF(COUNTA(B18:H18)=0,"0 (0%)",SUMPRODUCT(LEN(B18:H18))&amp;" ("&amp;TEXT(SUMPRODUCT(LEN(B18:H18)-LEN(SUBSTITUTE(B18:H18,"W","")))/SUMPRODUCT(LEN(B18:H18)),"0%")&amp;")")</f>
        <v>3 (67%)</v>
      </c>
      <c r="J18" s="22" t="s">
        <v>167</v>
      </c>
      <c r="K18" s="9" t="s">
        <v>43</v>
      </c>
    </row>
    <row r="19" spans="1:11" x14ac:dyDescent="0.6">
      <c r="A19" s="24" t="s">
        <v>18</v>
      </c>
      <c r="B19" s="9"/>
      <c r="C19" s="9"/>
      <c r="D19" s="9"/>
      <c r="E19" s="9"/>
      <c r="F19" s="9"/>
      <c r="G19" s="9"/>
      <c r="H19" s="9"/>
      <c r="I19" s="19" t="str" cm="1">
        <f t="array" ref="I19">IF(COUNTA(B19:H19)=0,"0 (0%)",SUMPRODUCT(LEN(B19:H19))&amp;" ("&amp;TEXT(SUMPRODUCT(LEN(B19:H19)-LEN(SUBSTITUTE(B19:H19,"W","")))/SUMPRODUCT(LEN(B19:H19)),"0%")&amp;")")</f>
        <v>0 (0%)</v>
      </c>
      <c r="J19" s="22" t="s">
        <v>166</v>
      </c>
      <c r="K19" s="9" t="s">
        <v>104</v>
      </c>
    </row>
    <row r="20" spans="1:11" x14ac:dyDescent="0.6">
      <c r="A20" s="26" t="s">
        <v>2</v>
      </c>
      <c r="B20" s="5" t="s">
        <v>47</v>
      </c>
      <c r="C20" s="5" t="s">
        <v>48</v>
      </c>
      <c r="D20" s="5" t="s">
        <v>47</v>
      </c>
      <c r="E20" s="5" t="s">
        <v>47</v>
      </c>
      <c r="F20" s="5" t="s">
        <v>48</v>
      </c>
      <c r="G20" s="5" t="s">
        <v>47</v>
      </c>
      <c r="H20" s="5" t="s">
        <v>47</v>
      </c>
      <c r="I20" s="20" t="str" cm="1">
        <f t="array" ref="I20">IF(COUNTA(B20:H20)=0,"0 (0%)",SUMPRODUCT(LEN(B20:H20))&amp;" ("&amp;TEXT(SUMPRODUCT(LEN(B20:H20)-LEN(SUBSTITUTE(B20:H20,"W","")))/SUMPRODUCT(LEN(B20:H20)),"0%")&amp;")")</f>
        <v>7 (71%)</v>
      </c>
      <c r="J20" s="12" t="s">
        <v>186</v>
      </c>
      <c r="K20" s="5" t="s">
        <v>125</v>
      </c>
    </row>
    <row r="21" spans="1:11" x14ac:dyDescent="0.6">
      <c r="A21" s="26" t="s">
        <v>84</v>
      </c>
      <c r="B21" s="5"/>
      <c r="C21" s="5"/>
      <c r="D21" s="5"/>
      <c r="E21" s="5"/>
      <c r="F21" s="5" t="s">
        <v>47</v>
      </c>
      <c r="G21" s="5"/>
      <c r="H21" s="5"/>
      <c r="I21" s="20" t="str" cm="1">
        <f t="array" ref="I21">IF(COUNTA(B21:H21)=0,"0 (0%)",SUMPRODUCT(LEN(B21:H21))&amp;" ("&amp;TEXT(SUMPRODUCT(LEN(B21:H21)-LEN(SUBSTITUTE(B21:H21,"W","")))/SUMPRODUCT(LEN(B21:H21)),"0%")&amp;")")</f>
        <v>1 (100%)</v>
      </c>
      <c r="J21" s="12" t="s">
        <v>166</v>
      </c>
      <c r="K21" s="5" t="s">
        <v>170</v>
      </c>
    </row>
    <row r="22" spans="1:11" x14ac:dyDescent="0.6">
      <c r="A22" s="26" t="s">
        <v>140</v>
      </c>
      <c r="B22" s="5" t="s">
        <v>48</v>
      </c>
      <c r="C22" s="5"/>
      <c r="D22" s="5"/>
      <c r="E22" s="5"/>
      <c r="F22" s="5"/>
      <c r="G22" s="5"/>
      <c r="H22" s="5"/>
      <c r="I22" s="20" t="str" cm="1">
        <f t="array" ref="I22">IF(COUNTA(B22:H22)=0,"0 (0%)",SUMPRODUCT(LEN(B22:H22))&amp;" ("&amp;TEXT(SUMPRODUCT(LEN(B22:H22)-LEN(SUBSTITUTE(B22:H22,"W","")))/SUMPRODUCT(LEN(B22:H22)),"0%")&amp;")")</f>
        <v>1 (0%)</v>
      </c>
      <c r="J22" s="12" t="s">
        <v>162</v>
      </c>
      <c r="K22" s="5" t="s">
        <v>89</v>
      </c>
    </row>
    <row r="23" spans="1:11" x14ac:dyDescent="0.6">
      <c r="A23" s="26" t="s">
        <v>85</v>
      </c>
      <c r="B23" s="5"/>
      <c r="C23" s="5"/>
      <c r="D23" s="5"/>
      <c r="E23" s="5"/>
      <c r="F23" s="5"/>
      <c r="G23" s="5"/>
      <c r="H23" s="5"/>
      <c r="I23" s="20" t="str" cm="1">
        <f t="array" ref="I23">IF(COUNTA(B23:H23)=0,"0 (0%)",SUMPRODUCT(LEN(B23:H23))&amp;" ("&amp;TEXT(SUMPRODUCT(LEN(B23:H23)-LEN(SUBSTITUTE(B23:H23,"W","")))/SUMPRODUCT(LEN(B23:H23)),"0%")&amp;")")</f>
        <v>0 (0%)</v>
      </c>
      <c r="J23" s="12" t="s">
        <v>168</v>
      </c>
      <c r="K23" s="5" t="s">
        <v>89</v>
      </c>
    </row>
    <row r="24" spans="1:11" x14ac:dyDescent="0.6">
      <c r="A24" s="26" t="s">
        <v>3</v>
      </c>
      <c r="B24" s="12"/>
      <c r="C24" s="12"/>
      <c r="D24" s="12"/>
      <c r="E24" s="12"/>
      <c r="F24" s="12"/>
      <c r="G24" s="12"/>
      <c r="H24" s="12"/>
      <c r="I24" s="20" t="str" cm="1">
        <f t="array" ref="I24">IF(COUNTA(B24:H24)=0,"0 (0%)",SUMPRODUCT(LEN(B24:H24))&amp;" ("&amp;TEXT(SUMPRODUCT(LEN(B24:H24)-LEN(SUBSTITUTE(B24:H24,"W","")))/SUMPRODUCT(LEN(B24:H24)),"0%")&amp;")")</f>
        <v>0 (0%)</v>
      </c>
      <c r="J24" s="12" t="s">
        <v>166</v>
      </c>
      <c r="K24" s="5" t="s">
        <v>124</v>
      </c>
    </row>
    <row r="25" spans="1:11" x14ac:dyDescent="0.6">
      <c r="A25" s="26" t="s">
        <v>0</v>
      </c>
      <c r="B25" s="5"/>
      <c r="C25" s="5"/>
      <c r="D25" s="5"/>
      <c r="E25" s="5"/>
      <c r="F25" s="5"/>
      <c r="G25" s="5"/>
      <c r="H25" s="5"/>
      <c r="I25" s="20" t="str" cm="1">
        <f t="array" ref="I25">IF(COUNTA(B25:H25)=0,"0 (0%)",SUMPRODUCT(LEN(B25:H25))&amp;" ("&amp;TEXT(SUMPRODUCT(LEN(B25:H25)-LEN(SUBSTITUTE(B25:H25,"W","")))/SUMPRODUCT(LEN(B25:H25)),"0%")&amp;")")</f>
        <v>0 (0%)</v>
      </c>
      <c r="J25" s="12" t="s">
        <v>166</v>
      </c>
      <c r="K25" s="5" t="s">
        <v>123</v>
      </c>
    </row>
    <row r="26" spans="1:11" x14ac:dyDescent="0.6">
      <c r="A26" s="14" t="s">
        <v>50</v>
      </c>
      <c r="B26" s="3" t="str" cm="1">
        <f t="array" ref="B26">IF(COUNTA(B2:B25)=0,"0 (0%)",SUMPRODUCT(LEN(B2:B25))&amp;" ("&amp;TEXT(SUMPRODUCT(LEN(B2:B25)-LEN(SUBSTITUTE(B2:B25,"W","")))/SUMPRODUCT(LEN(B2:B25)),"0%")&amp;")")</f>
        <v>12 (42%)</v>
      </c>
      <c r="C26" s="3" t="str" cm="1">
        <f t="array" ref="C26">IF(COUNTA(C2:C25)=0,"0 (0%)",SUMPRODUCT(LEN(C2:C25))&amp;" ("&amp;TEXT(SUMPRODUCT(LEN(C2:C25)-LEN(SUBSTITUTE(C2:C25,"W","")))/SUMPRODUCT(LEN(C2:C25)),"0%")&amp;")")</f>
        <v>12 (50%)</v>
      </c>
      <c r="D26" s="7" t="str" cm="1">
        <f t="array" ref="D26">IF(COUNTA(D2:D25)=0,"0 (0%)",SUMPRODUCT(LEN(D2:D25))&amp;" ("&amp;TEXT(SUMPRODUCT(LEN(D2:D25)-LEN(SUBSTITUTE(D2:D25,"W","")))/SUMPRODUCT(LEN(D2:D25)),"0%")&amp;")")</f>
        <v>11 (82%)</v>
      </c>
      <c r="E26" s="3" t="str" cm="1">
        <f t="array" ref="E26">IF(COUNTA(E2:E25)=0,"0 (0%)",SUMPRODUCT(LEN(E2:E25))&amp;" ("&amp;TEXT(SUMPRODUCT(LEN(E2:E25)-LEN(SUBSTITUTE(E2:E25,"W","")))/SUMPRODUCT(LEN(E2:E25)),"0%")&amp;")")</f>
        <v>12 (50%)</v>
      </c>
      <c r="F26" s="3" t="str" cm="1">
        <f t="array" ref="F26">IF(COUNTA(F2:F25)=0,"0 (0%)",SUMPRODUCT(LEN(F2:F25))&amp;" ("&amp;TEXT(SUMPRODUCT(LEN(F2:F25)-LEN(SUBSTITUTE(F2:F25,"W","")))/SUMPRODUCT(LEN(F2:F25)),"0%")&amp;")")</f>
        <v>12 (58%)</v>
      </c>
      <c r="G26" s="3" t="str" cm="1">
        <f t="array" ref="G26">IF(COUNTA(G2:G25)=0,"0 (0%)",SUMPRODUCT(LEN(G2:G25))&amp;" ("&amp;TEXT(SUMPRODUCT(LEN(G2:G25)-LEN(SUBSTITUTE(G2:G25,"W","")))/SUMPRODUCT(LEN(G2:G25)),"0%")&amp;")")</f>
        <v>12 (67%)</v>
      </c>
      <c r="H26" s="3" t="str" cm="1">
        <f t="array" ref="H26">IF(COUNTA(H2:H25)=0,"0 (0%)",SUMPRODUCT(LEN(H2:H25))&amp;" ("&amp;TEXT(SUMPRODUCT(LEN(H2:H25)-LEN(SUBSTITUTE(H2:H25,"W","")))/SUMPRODUCT(LEN(H2:H25)),"0%")&amp;")")</f>
        <v>12 (33%)</v>
      </c>
      <c r="I26" s="1" t="str" cm="1">
        <f t="array" ref="I26">IF(COUNTA(B2:H25)=0,"0 (0%)",SUMPRODUCT(LEN(B2:H25))&amp;" ("&amp;TEXT(SUMPRODUCT(LEN(B2:H25)-LEN(SUBSTITUTE(B2:H25,"W","")))/SUMPRODUCT(LEN(B2:H25)),"0%")&amp;")")</f>
        <v>83 (54%)</v>
      </c>
      <c r="J26" s="1" t="s">
        <v>132</v>
      </c>
      <c r="K26" s="1"/>
    </row>
  </sheetData>
  <sortState xmlns:xlrd2="http://schemas.microsoft.com/office/spreadsheetml/2017/richdata2" ref="A2:K25">
    <sortCondition sortBy="cellColor" ref="I2:I25" dxfId="73"/>
    <sortCondition sortBy="cellColor" ref="I2:I25" dxfId="72"/>
    <sortCondition sortBy="cellColor" ref="I2:I25" dxfId="71"/>
    <sortCondition sortBy="cellColor" ref="J2:J25" dxfId="70"/>
    <sortCondition descending="1" ref="I2:I25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FEDB-FD97-4EBA-AC1E-4B8AD2F8BA48}">
  <dimension ref="A1:K26"/>
  <sheetViews>
    <sheetView zoomScale="75" workbookViewId="0">
      <selection activeCell="O18" sqref="O18"/>
    </sheetView>
  </sheetViews>
  <sheetFormatPr defaultRowHeight="16.899999999999999" x14ac:dyDescent="0.6"/>
  <cols>
    <col min="1" max="1" width="17.8125" bestFit="1" customWidth="1"/>
    <col min="2" max="8" width="9.4375" bestFit="1" customWidth="1"/>
    <col min="9" max="9" width="10.4375" bestFit="1" customWidth="1"/>
    <col min="10" max="10" width="10.4375" customWidth="1"/>
    <col min="11" max="11" width="36" bestFit="1" customWidth="1"/>
  </cols>
  <sheetData>
    <row r="1" spans="1:11" x14ac:dyDescent="0.6">
      <c r="B1" s="13" t="s">
        <v>235</v>
      </c>
      <c r="C1" s="13" t="s">
        <v>236</v>
      </c>
      <c r="D1" s="13" t="s">
        <v>237</v>
      </c>
      <c r="E1" s="13" t="s">
        <v>238</v>
      </c>
      <c r="F1" s="13" t="s">
        <v>239</v>
      </c>
      <c r="G1" s="29" t="s">
        <v>240</v>
      </c>
      <c r="H1" s="29" t="s">
        <v>241</v>
      </c>
      <c r="I1" s="1" t="s">
        <v>50</v>
      </c>
      <c r="J1" s="1" t="s">
        <v>130</v>
      </c>
      <c r="K1" s="1" t="s">
        <v>20</v>
      </c>
    </row>
    <row r="2" spans="1:11" x14ac:dyDescent="0.6">
      <c r="A2" s="23" t="s">
        <v>223</v>
      </c>
      <c r="B2" s="3" t="s">
        <v>48</v>
      </c>
      <c r="C2" s="3" t="s">
        <v>47</v>
      </c>
      <c r="D2" s="3"/>
      <c r="E2" s="3" t="s">
        <v>75</v>
      </c>
      <c r="F2" s="3" t="s">
        <v>67</v>
      </c>
      <c r="G2" s="3"/>
      <c r="H2" s="3"/>
      <c r="I2" s="17" t="str" cm="1">
        <f t="array" ref="I2">IF(COUNTA(B2:H2)=0,"0 (0%)",SUMPRODUCT(LEN(B2:H2))&amp;" ("&amp;TEXT(SUMPRODUCT(LEN(B2:H2)-LEN(SUBSTITUTE(B2:H2,"W","")))/SUMPRODUCT(LEN(B2:H2)),"0%")&amp;")")</f>
        <v>6 (67%)</v>
      </c>
      <c r="J2" s="21" t="s">
        <v>242</v>
      </c>
      <c r="K2" s="3" t="s">
        <v>44</v>
      </c>
    </row>
    <row r="3" spans="1:11" x14ac:dyDescent="0.6">
      <c r="A3" s="23" t="s">
        <v>222</v>
      </c>
      <c r="B3" s="21" t="s">
        <v>48</v>
      </c>
      <c r="C3" s="21" t="s">
        <v>47</v>
      </c>
      <c r="D3" s="21" t="s">
        <v>47</v>
      </c>
      <c r="E3" s="21" t="s">
        <v>48</v>
      </c>
      <c r="F3" s="21" t="s">
        <v>47</v>
      </c>
      <c r="G3" s="21"/>
      <c r="H3" s="21"/>
      <c r="I3" s="17" t="str" cm="1">
        <f t="array" ref="I3">IF(COUNTA(B3:H3)=0,"0 (0%)",SUMPRODUCT(LEN(B3:H3))&amp;" ("&amp;TEXT(SUMPRODUCT(LEN(B3:H3)-LEN(SUBSTITUTE(B3:H3,"W","")))/SUMPRODUCT(LEN(B3:H3)),"0%")&amp;")")</f>
        <v>5 (60%)</v>
      </c>
      <c r="J3" s="21" t="s">
        <v>186</v>
      </c>
      <c r="K3" s="21"/>
    </row>
    <row r="4" spans="1:11" x14ac:dyDescent="0.6">
      <c r="A4" s="23" t="s">
        <v>19</v>
      </c>
      <c r="B4" s="3" t="s">
        <v>47</v>
      </c>
      <c r="C4" s="3" t="s">
        <v>48</v>
      </c>
      <c r="D4" s="3" t="s">
        <v>47</v>
      </c>
      <c r="E4" s="3" t="s">
        <v>48</v>
      </c>
      <c r="F4" s="3" t="s">
        <v>47</v>
      </c>
      <c r="G4" s="3"/>
      <c r="H4" s="3"/>
      <c r="I4" s="17" t="str" cm="1">
        <f t="array" ref="I4">IF(COUNTA(B4:H4)=0,"0 (0%)",SUMPRODUCT(LEN(B4:H4))&amp;" ("&amp;TEXT(SUMPRODUCT(LEN(B4:H4)-LEN(SUBSTITUTE(B4:H4,"W","")))/SUMPRODUCT(LEN(B4:H4)),"0%")&amp;")")</f>
        <v>5 (60%)</v>
      </c>
      <c r="J4" s="21" t="s">
        <v>185</v>
      </c>
      <c r="K4" s="13" t="s">
        <v>169</v>
      </c>
    </row>
    <row r="5" spans="1:11" x14ac:dyDescent="0.6">
      <c r="A5" s="23" t="s">
        <v>12</v>
      </c>
      <c r="B5" s="3" t="s">
        <v>47</v>
      </c>
      <c r="C5" s="3" t="s">
        <v>47</v>
      </c>
      <c r="D5" s="3" t="s">
        <v>48</v>
      </c>
      <c r="E5" s="3" t="s">
        <v>48</v>
      </c>
      <c r="F5" s="3" t="s">
        <v>48</v>
      </c>
      <c r="G5" s="3"/>
      <c r="H5" s="3"/>
      <c r="I5" s="17" t="str" cm="1">
        <f t="array" ref="I5">IF(COUNTA(B5:H5)=0,"0 (0%)",SUMPRODUCT(LEN(B5:H5))&amp;" ("&amp;TEXT(SUMPRODUCT(LEN(B5:H5)-LEN(SUBSTITUTE(B5:H5,"W","")))/SUMPRODUCT(LEN(B5:H5)),"0%")&amp;")")</f>
        <v>5 (40%)</v>
      </c>
      <c r="J5" s="21" t="s">
        <v>149</v>
      </c>
      <c r="K5" s="3"/>
    </row>
    <row r="6" spans="1:11" x14ac:dyDescent="0.6">
      <c r="A6" s="23" t="s">
        <v>121</v>
      </c>
      <c r="B6" s="3" t="s">
        <v>48</v>
      </c>
      <c r="C6" s="3" t="s">
        <v>48</v>
      </c>
      <c r="D6" s="3" t="s">
        <v>48</v>
      </c>
      <c r="E6" s="3" t="s">
        <v>48</v>
      </c>
      <c r="F6" s="3" t="s">
        <v>48</v>
      </c>
      <c r="G6" s="3"/>
      <c r="H6" s="3"/>
      <c r="I6" s="17" t="str" cm="1">
        <f t="array" ref="I6">IF(COUNTA(B6:H6)=0,"0 (0%)",SUMPRODUCT(LEN(B6:H6))&amp;" ("&amp;TEXT(SUMPRODUCT(LEN(B6:H6)-LEN(SUBSTITUTE(B6:H6,"W","")))/SUMPRODUCT(LEN(B6:H6)),"0%")&amp;")")</f>
        <v>5 (0%)</v>
      </c>
      <c r="J6" s="21" t="s">
        <v>163</v>
      </c>
      <c r="K6" s="3"/>
    </row>
    <row r="7" spans="1:11" x14ac:dyDescent="0.6">
      <c r="A7" s="23" t="s">
        <v>38</v>
      </c>
      <c r="B7" s="3" t="s">
        <v>48</v>
      </c>
      <c r="C7" s="3" t="s">
        <v>47</v>
      </c>
      <c r="D7" s="3"/>
      <c r="E7" s="3" t="s">
        <v>47</v>
      </c>
      <c r="F7" s="3" t="s">
        <v>47</v>
      </c>
      <c r="G7" s="3"/>
      <c r="H7" s="3"/>
      <c r="I7" s="17" t="str" cm="1">
        <f t="array" ref="I7">IF(COUNTA(B7:H7)=0,"0 (0%)",SUMPRODUCT(LEN(B7:H7))&amp;" ("&amp;TEXT(SUMPRODUCT(LEN(B7:H7)-LEN(SUBSTITUTE(B7:H7,"W","")))/SUMPRODUCT(LEN(B7:H7)),"0%")&amp;")")</f>
        <v>4 (75%)</v>
      </c>
      <c r="J7" s="21" t="s">
        <v>146</v>
      </c>
      <c r="K7" s="3"/>
    </row>
    <row r="8" spans="1:11" x14ac:dyDescent="0.6">
      <c r="A8" s="30" t="s">
        <v>187</v>
      </c>
      <c r="B8" s="32" t="s">
        <v>47</v>
      </c>
      <c r="C8" s="32" t="s">
        <v>47</v>
      </c>
      <c r="D8" s="32" t="s">
        <v>47</v>
      </c>
      <c r="E8" s="32" t="s">
        <v>48</v>
      </c>
      <c r="F8" s="32"/>
      <c r="G8" s="32"/>
      <c r="H8" s="32"/>
      <c r="I8" s="31" t="str" cm="1">
        <f t="array" ref="I8">IF(COUNTA(B8:H8)=0,"0 (0%)",SUMPRODUCT(LEN(B8:H8))&amp;" ("&amp;TEXT(SUMPRODUCT(LEN(B8:H8)-LEN(SUBSTITUTE(B8:H8,"W","")))/SUMPRODUCT(LEN(B8:H8)),"0%")&amp;")")</f>
        <v>4 (75%)</v>
      </c>
      <c r="J8" s="32" t="s">
        <v>155</v>
      </c>
      <c r="K8" s="32"/>
    </row>
    <row r="9" spans="1:11" x14ac:dyDescent="0.6">
      <c r="A9" s="30" t="s">
        <v>9</v>
      </c>
      <c r="B9" s="28" t="s">
        <v>48</v>
      </c>
      <c r="C9" s="28"/>
      <c r="D9" s="28" t="s">
        <v>48</v>
      </c>
      <c r="E9" s="28" t="s">
        <v>47</v>
      </c>
      <c r="F9" s="28" t="s">
        <v>48</v>
      </c>
      <c r="G9" s="28"/>
      <c r="H9" s="28"/>
      <c r="I9" s="31" t="str" cm="1">
        <f t="array" ref="I9">IF(COUNTA(B9:H9)=0,"0 (0%)",SUMPRODUCT(LEN(B9:H9))&amp;" ("&amp;TEXT(SUMPRODUCT(LEN(B9:H9)-LEN(SUBSTITUTE(B9:H9,"W","")))/SUMPRODUCT(LEN(B9:H9)),"0%")&amp;")")</f>
        <v>4 (25%)</v>
      </c>
      <c r="J9" s="32" t="s">
        <v>182</v>
      </c>
      <c r="K9" s="28"/>
    </row>
    <row r="10" spans="1:11" x14ac:dyDescent="0.6">
      <c r="A10" s="30" t="s">
        <v>55</v>
      </c>
      <c r="B10" s="28" t="s">
        <v>47</v>
      </c>
      <c r="C10" s="28" t="s">
        <v>47</v>
      </c>
      <c r="D10" s="28" t="s">
        <v>47</v>
      </c>
      <c r="E10" s="28"/>
      <c r="F10" s="28" t="s">
        <v>47</v>
      </c>
      <c r="G10" s="28"/>
      <c r="H10" s="28"/>
      <c r="I10" s="31" t="str" cm="1">
        <f t="array" ref="I10">IF(COUNTA(B10:H10)=0,"0 (0%)",SUMPRODUCT(LEN(B10:H10))&amp;" ("&amp;TEXT(SUMPRODUCT(LEN(B10:H10)-LEN(SUBSTITUTE(B10:H10,"W","")))/SUMPRODUCT(LEN(B10:H10)),"0%")&amp;")")</f>
        <v>4 (100%)</v>
      </c>
      <c r="J10" s="32" t="s">
        <v>154</v>
      </c>
      <c r="K10" s="28"/>
    </row>
    <row r="11" spans="1:11" x14ac:dyDescent="0.6">
      <c r="A11" s="30" t="s">
        <v>33</v>
      </c>
      <c r="B11" s="28"/>
      <c r="C11" s="28" t="s">
        <v>48</v>
      </c>
      <c r="D11" s="28" t="s">
        <v>48</v>
      </c>
      <c r="E11" s="28"/>
      <c r="F11" s="28" t="s">
        <v>47</v>
      </c>
      <c r="G11" s="28"/>
      <c r="H11" s="28"/>
      <c r="I11" s="31" t="str" cm="1">
        <f t="array" ref="I11">IF(COUNTA(B11:H11)=0,"0 (0%)",SUMPRODUCT(LEN(B11:H11))&amp;" ("&amp;TEXT(SUMPRODUCT(LEN(B11:H11)-LEN(SUBSTITUTE(B11:H11,"W","")))/SUMPRODUCT(LEN(B11:H11)),"0%")&amp;")")</f>
        <v>3 (33%)</v>
      </c>
      <c r="J11" s="32" t="s">
        <v>154</v>
      </c>
      <c r="K11" s="28" t="s">
        <v>41</v>
      </c>
    </row>
    <row r="12" spans="1:11" x14ac:dyDescent="0.6">
      <c r="A12" s="25" t="s">
        <v>208</v>
      </c>
      <c r="B12" s="7"/>
      <c r="C12" s="7"/>
      <c r="D12" s="7" t="s">
        <v>47</v>
      </c>
      <c r="E12" s="7"/>
      <c r="F12" s="7"/>
      <c r="G12" s="7"/>
      <c r="H12" s="7"/>
      <c r="I12" s="18" t="str" cm="1">
        <f t="array" ref="I12">IF(COUNTA(B12:H12)=0,"0 (0%)",SUMPRODUCT(LEN(B12:H12))&amp;" ("&amp;TEXT(SUMPRODUCT(LEN(B12:H12)-LEN(SUBSTITUTE(B12:H12,"W","")))/SUMPRODUCT(LEN(B12:H12)),"0%")&amp;")")</f>
        <v>1 (100%)</v>
      </c>
      <c r="J12" s="16" t="s">
        <v>163</v>
      </c>
      <c r="K12" s="7" t="s">
        <v>21</v>
      </c>
    </row>
    <row r="13" spans="1:11" x14ac:dyDescent="0.6">
      <c r="A13" s="25" t="s">
        <v>32</v>
      </c>
      <c r="B13" s="7"/>
      <c r="C13" s="7"/>
      <c r="D13" s="7" t="s">
        <v>48</v>
      </c>
      <c r="E13" s="7"/>
      <c r="F13" s="7"/>
      <c r="G13" s="7"/>
      <c r="H13" s="7"/>
      <c r="I13" s="18" t="str" cm="1">
        <f t="array" ref="I13">IF(COUNTA(B13:H13)=0,"0 (0%)",SUMPRODUCT(LEN(B13:H13))&amp;" ("&amp;TEXT(SUMPRODUCT(LEN(B13:H13)-LEN(SUBSTITUTE(B13:H13,"W","")))/SUMPRODUCT(LEN(B13:H13)),"0%")&amp;")")</f>
        <v>1 (0%)</v>
      </c>
      <c r="J13" s="16" t="s">
        <v>146</v>
      </c>
      <c r="K13" s="7"/>
    </row>
    <row r="14" spans="1:11" x14ac:dyDescent="0.6">
      <c r="A14" s="25" t="s">
        <v>5</v>
      </c>
      <c r="B14" s="7"/>
      <c r="C14" s="7"/>
      <c r="D14" s="7"/>
      <c r="E14" s="7"/>
      <c r="F14" s="7" t="s">
        <v>48</v>
      </c>
      <c r="G14" s="7"/>
      <c r="H14" s="7"/>
      <c r="I14" s="18" t="str" cm="1">
        <f t="array" ref="I14">IF(COUNTA(B14:H14)=0,"0 (0%)",SUMPRODUCT(LEN(B14:H14))&amp;" ("&amp;TEXT(SUMPRODUCT(LEN(B14:H14)-LEN(SUBSTITUTE(B14:H14,"W","")))/SUMPRODUCT(LEN(B14:H14)),"0%")&amp;")")</f>
        <v>1 (0%)</v>
      </c>
      <c r="J14" s="16" t="s">
        <v>168</v>
      </c>
      <c r="K14" s="7"/>
    </row>
    <row r="15" spans="1:11" x14ac:dyDescent="0.6">
      <c r="A15" s="25" t="s">
        <v>109</v>
      </c>
      <c r="B15" s="7"/>
      <c r="C15" s="7"/>
      <c r="D15" s="7"/>
      <c r="E15" s="7"/>
      <c r="F15" s="7"/>
      <c r="G15" s="7"/>
      <c r="H15" s="7"/>
      <c r="I15" s="18" t="str" cm="1">
        <f t="array" ref="I15">IF(COUNTA(B15:H15)=0,"0 (0%)",SUMPRODUCT(LEN(B15:H15))&amp;" ("&amp;TEXT(SUMPRODUCT(LEN(B15:H15)-LEN(SUBSTITUTE(B15:H15,"W","")))/SUMPRODUCT(LEN(B15:H15)),"0%")&amp;")")</f>
        <v>0 (0%)</v>
      </c>
      <c r="J15" s="16" t="s">
        <v>148</v>
      </c>
      <c r="K15" s="7"/>
    </row>
    <row r="16" spans="1:11" x14ac:dyDescent="0.6">
      <c r="A16" s="25" t="s">
        <v>141</v>
      </c>
      <c r="B16" s="7"/>
      <c r="C16" s="7"/>
      <c r="D16" s="7"/>
      <c r="E16" s="7"/>
      <c r="F16" s="7"/>
      <c r="G16" s="7"/>
      <c r="H16" s="7"/>
      <c r="I16" s="18" t="str" cm="1">
        <f t="array" ref="I16">IF(COUNTA(B16:H16)=0,"0 (0%)",SUMPRODUCT(LEN(B16:H16))&amp;" ("&amp;TEXT(SUMPRODUCT(LEN(B16:H16)-LEN(SUBSTITUTE(B16:H16,"W","")))/SUMPRODUCT(LEN(B16:H16)),"0%")&amp;")")</f>
        <v>0 (0%)</v>
      </c>
      <c r="J16" s="7" t="s">
        <v>168</v>
      </c>
      <c r="K16" s="7"/>
    </row>
    <row r="17" spans="1:11" x14ac:dyDescent="0.6">
      <c r="A17" s="24" t="s">
        <v>221</v>
      </c>
      <c r="B17" s="9"/>
      <c r="C17" s="9" t="s">
        <v>47</v>
      </c>
      <c r="D17" s="9"/>
      <c r="E17" s="9" t="s">
        <v>48</v>
      </c>
      <c r="F17" s="9"/>
      <c r="G17" s="9"/>
      <c r="H17" s="9"/>
      <c r="I17" s="19" t="str" cm="1">
        <f t="array" ref="I17">IF(COUNTA(B17:H17)=0,"0 (0%)",SUMPRODUCT(LEN(B17:H17))&amp;" ("&amp;TEXT(SUMPRODUCT(LEN(B17:H17)-LEN(SUBSTITUTE(B17:H17,"W","")))/SUMPRODUCT(LEN(B17:H17)),"0%")&amp;")")</f>
        <v>2 (50%)</v>
      </c>
      <c r="J17" s="22" t="s">
        <v>150</v>
      </c>
      <c r="K17" s="9" t="s">
        <v>43</v>
      </c>
    </row>
    <row r="18" spans="1:11" x14ac:dyDescent="0.6">
      <c r="A18" s="24" t="s">
        <v>7</v>
      </c>
      <c r="B18" s="9" t="s">
        <v>48</v>
      </c>
      <c r="C18" s="9"/>
      <c r="D18" s="9"/>
      <c r="E18" s="9"/>
      <c r="F18" s="9"/>
      <c r="G18" s="9"/>
      <c r="H18" s="9"/>
      <c r="I18" s="19" t="str" cm="1">
        <f t="array" ref="I18">IF(COUNTA(B18:H18)=0,"0 (0%)",SUMPRODUCT(LEN(B18:H18))&amp;" ("&amp;TEXT(SUMPRODUCT(LEN(B18:H18)-LEN(SUBSTITUTE(B18:H18,"W","")))/SUMPRODUCT(LEN(B18:H18)),"0%")&amp;")")</f>
        <v>1 (0%)</v>
      </c>
      <c r="J18" s="22" t="s">
        <v>150</v>
      </c>
      <c r="K18" s="27" t="s">
        <v>69</v>
      </c>
    </row>
    <row r="19" spans="1:11" x14ac:dyDescent="0.6">
      <c r="A19" s="24" t="s">
        <v>18</v>
      </c>
      <c r="B19" s="9"/>
      <c r="C19" s="9"/>
      <c r="D19" s="9"/>
      <c r="E19" s="9"/>
      <c r="F19" s="9"/>
      <c r="G19" s="9"/>
      <c r="H19" s="9"/>
      <c r="I19" s="19" t="str" cm="1">
        <f t="array" ref="I19">IF(COUNTA(B19:H19)=0,"0 (0%)",SUMPRODUCT(LEN(B19:H19))&amp;" ("&amp;TEXT(SUMPRODUCT(LEN(B19:H19)-LEN(SUBSTITUTE(B19:H19,"W","")))/SUMPRODUCT(LEN(B19:H19)),"0%")&amp;")")</f>
        <v>0 (0%)</v>
      </c>
      <c r="J19" s="22" t="s">
        <v>166</v>
      </c>
      <c r="K19" s="9" t="s">
        <v>104</v>
      </c>
    </row>
    <row r="20" spans="1:11" x14ac:dyDescent="0.6">
      <c r="A20" s="26" t="s">
        <v>2</v>
      </c>
      <c r="B20" s="5" t="s">
        <v>48</v>
      </c>
      <c r="C20" s="5" t="s">
        <v>48</v>
      </c>
      <c r="D20" s="5" t="s">
        <v>47</v>
      </c>
      <c r="E20" s="5" t="s">
        <v>48</v>
      </c>
      <c r="F20" s="5" t="s">
        <v>48</v>
      </c>
      <c r="G20" s="5"/>
      <c r="H20" s="5"/>
      <c r="I20" s="20" t="str" cm="1">
        <f t="array" ref="I20">IF(COUNTA(B20:H20)=0,"0 (0%)",SUMPRODUCT(LEN(B20:H20))&amp;" ("&amp;TEXT(SUMPRODUCT(LEN(B20:H20)-LEN(SUBSTITUTE(B20:H20,"W","")))/SUMPRODUCT(LEN(B20:H20)),"0%")&amp;")")</f>
        <v>5 (20%)</v>
      </c>
      <c r="J20" s="12" t="s">
        <v>220</v>
      </c>
      <c r="K20" s="5" t="s">
        <v>125</v>
      </c>
    </row>
    <row r="21" spans="1:11" x14ac:dyDescent="0.6">
      <c r="A21" s="26" t="s">
        <v>140</v>
      </c>
      <c r="B21" s="5" t="s">
        <v>47</v>
      </c>
      <c r="C21" s="5" t="s">
        <v>48</v>
      </c>
      <c r="D21" s="5" t="s">
        <v>48</v>
      </c>
      <c r="E21" s="5" t="s">
        <v>48</v>
      </c>
      <c r="F21" s="5"/>
      <c r="G21" s="5"/>
      <c r="H21" s="5"/>
      <c r="I21" s="20" t="str" cm="1">
        <f t="array" ref="I21">IF(COUNTA(B21:H21)=0,"0 (0%)",SUMPRODUCT(LEN(B21:H21))&amp;" ("&amp;TEXT(SUMPRODUCT(LEN(B21:H21)-LEN(SUBSTITUTE(B21:H21,"W","")))/SUMPRODUCT(LEN(B21:H21)),"0%")&amp;")")</f>
        <v>4 (25%)</v>
      </c>
      <c r="J21" s="12" t="s">
        <v>168</v>
      </c>
      <c r="K21" s="5" t="s">
        <v>89</v>
      </c>
    </row>
    <row r="22" spans="1:11" x14ac:dyDescent="0.6">
      <c r="A22" s="26" t="s">
        <v>84</v>
      </c>
      <c r="B22" s="5"/>
      <c r="C22" s="5"/>
      <c r="D22" s="5"/>
      <c r="E22" s="5"/>
      <c r="F22" s="5"/>
      <c r="G22" s="5"/>
      <c r="H22" s="5"/>
      <c r="I22" s="20" t="str" cm="1">
        <f t="array" ref="I22">IF(COUNTA(B22:H22)=0,"0 (0%)",SUMPRODUCT(LEN(B22:H22))&amp;" ("&amp;TEXT(SUMPRODUCT(LEN(B22:H22)-LEN(SUBSTITUTE(B22:H22,"W","")))/SUMPRODUCT(LEN(B22:H22)),"0%")&amp;")")</f>
        <v>0 (0%)</v>
      </c>
      <c r="J22" s="12" t="s">
        <v>183</v>
      </c>
      <c r="K22" s="5" t="s">
        <v>170</v>
      </c>
    </row>
    <row r="23" spans="1:11" x14ac:dyDescent="0.6">
      <c r="A23" s="26" t="s">
        <v>85</v>
      </c>
      <c r="B23" s="5"/>
      <c r="C23" s="5"/>
      <c r="D23" s="5"/>
      <c r="E23" s="5"/>
      <c r="F23" s="5"/>
      <c r="G23" s="5"/>
      <c r="H23" s="5"/>
      <c r="I23" s="20" t="str" cm="1">
        <f t="array" ref="I23">IF(COUNTA(B23:H23)=0,"0 (0%)",SUMPRODUCT(LEN(B23:H23))&amp;" ("&amp;TEXT(SUMPRODUCT(LEN(B23:H23)-LEN(SUBSTITUTE(B23:H23,"W","")))/SUMPRODUCT(LEN(B23:H23)),"0%")&amp;")")</f>
        <v>0 (0%)</v>
      </c>
      <c r="J23" s="12" t="s">
        <v>166</v>
      </c>
      <c r="K23" s="5" t="s">
        <v>89</v>
      </c>
    </row>
    <row r="24" spans="1:11" x14ac:dyDescent="0.6">
      <c r="A24" s="26" t="s">
        <v>3</v>
      </c>
      <c r="B24" s="12"/>
      <c r="C24" s="12"/>
      <c r="D24" s="12"/>
      <c r="E24" s="12"/>
      <c r="F24" s="12"/>
      <c r="G24" s="12"/>
      <c r="H24" s="12"/>
      <c r="I24" s="20" t="str" cm="1">
        <f t="array" ref="I24">IF(COUNTA(B24:H24)=0,"0 (0%)",SUMPRODUCT(LEN(B24:H24))&amp;" ("&amp;TEXT(SUMPRODUCT(LEN(B24:H24)-LEN(SUBSTITUTE(B24:H24,"W","")))/SUMPRODUCT(LEN(B24:H24)),"0%")&amp;")")</f>
        <v>0 (0%)</v>
      </c>
      <c r="J24" s="12" t="s">
        <v>166</v>
      </c>
      <c r="K24" s="5" t="s">
        <v>124</v>
      </c>
    </row>
    <row r="25" spans="1:11" x14ac:dyDescent="0.6">
      <c r="A25" s="26" t="s">
        <v>0</v>
      </c>
      <c r="B25" s="5"/>
      <c r="C25" s="5"/>
      <c r="D25" s="5"/>
      <c r="E25" s="5"/>
      <c r="F25" s="5"/>
      <c r="G25" s="5"/>
      <c r="H25" s="5"/>
      <c r="I25" s="20" t="str" cm="1">
        <f t="array" ref="I25">IF(COUNTA(B25:H25)=0,"0 (0%)",SUMPRODUCT(LEN(B25:H25))&amp;" ("&amp;TEXT(SUMPRODUCT(LEN(B25:H25)-LEN(SUBSTITUTE(B25:H25,"W","")))/SUMPRODUCT(LEN(B25:H25)),"0%")&amp;")")</f>
        <v>0 (0%)</v>
      </c>
      <c r="J25" s="12" t="s">
        <v>166</v>
      </c>
      <c r="K25" s="5" t="s">
        <v>123</v>
      </c>
    </row>
    <row r="26" spans="1:11" x14ac:dyDescent="0.6">
      <c r="A26" s="14" t="s">
        <v>50</v>
      </c>
      <c r="B26" s="3" t="str" cm="1">
        <f t="array" ref="B26">IF(COUNTA(B2:B25)=0,"0 (0%)",SUMPRODUCT(LEN(B2:B25))&amp;" ("&amp;TEXT(SUMPRODUCT(LEN(B2:B25)-LEN(SUBSTITUTE(B2:B25,"W","")))/SUMPRODUCT(LEN(B2:B25)),"0%")&amp;")")</f>
        <v>12 (42%)</v>
      </c>
      <c r="C26" s="3" t="str" cm="1">
        <f t="array" ref="C26">IF(COUNTA(C2:C25)=0,"0 (0%)",SUMPRODUCT(LEN(C2:C25))&amp;" ("&amp;TEXT(SUMPRODUCT(LEN(C2:C25)-LEN(SUBSTITUTE(C2:C25,"W","")))/SUMPRODUCT(LEN(C2:C25)),"0%")&amp;")")</f>
        <v>12 (58%)</v>
      </c>
      <c r="D26" s="3" t="str" cm="1">
        <f t="array" ref="D26">IF(COUNTA(D2:D25)=0,"0 (0%)",SUMPRODUCT(LEN(D2:D25))&amp;" ("&amp;TEXT(SUMPRODUCT(LEN(D2:D25)-LEN(SUBSTITUTE(D2:D25,"W","")))/SUMPRODUCT(LEN(D2:D25)),"0%")&amp;")")</f>
        <v>12 (50%)</v>
      </c>
      <c r="E26" s="3" t="str" cm="1">
        <f t="array" ref="E26">IF(COUNTA(E2:E25)=0,"0 (0%)",SUMPRODUCT(LEN(E2:E25))&amp;" ("&amp;TEXT(SUMPRODUCT(LEN(E2:E25)-LEN(SUBSTITUTE(E2:E25,"W","")))/SUMPRODUCT(LEN(E2:E25)),"0%")&amp;")")</f>
        <v>12 (25%)</v>
      </c>
      <c r="F26" s="3" t="str" cm="1">
        <f t="array" ref="F26">IF(COUNTA(F2:F25)=0,"0 (0%)",SUMPRODUCT(LEN(F2:F25))&amp;" ("&amp;TEXT(SUMPRODUCT(LEN(F2:F25)-LEN(SUBSTITUTE(F2:F25,"W","")))/SUMPRODUCT(LEN(F2:F25)),"0%")&amp;")")</f>
        <v>12 (58%)</v>
      </c>
      <c r="G26" s="28" t="str" cm="1">
        <f t="array" ref="G26">IF(COUNTA(G2:G25)=0,"0 (0%)",SUMPRODUCT(LEN(G2:G25))&amp;" ("&amp;TEXT(SUMPRODUCT(LEN(G2:G25)-LEN(SUBSTITUTE(G2:G25,"W","")))/SUMPRODUCT(LEN(G2:G25)),"0%")&amp;")")</f>
        <v>0 (0%)</v>
      </c>
      <c r="H26" s="28" t="str" cm="1">
        <f t="array" ref="H26">IF(COUNTA(H2:H25)=0,"0 (0%)",SUMPRODUCT(LEN(H2:H25))&amp;" ("&amp;TEXT(SUMPRODUCT(LEN(H2:H25)-LEN(SUBSTITUTE(H2:H25,"W","")))/SUMPRODUCT(LEN(H2:H25)),"0%")&amp;")")</f>
        <v>0 (0%)</v>
      </c>
      <c r="I26" s="1" t="str" cm="1">
        <f t="array" ref="I26">IF(COUNTA(B2:H25)=0,"0 (0%)",SUMPRODUCT(LEN(B2:H25))&amp;" ("&amp;TEXT(SUMPRODUCT(LEN(B2:H25)-LEN(SUBSTITUTE(B2:H25,"W","")))/SUMPRODUCT(LEN(B2:H25)),"0%")&amp;")")</f>
        <v>60 (47%)</v>
      </c>
      <c r="J26" s="1" t="s">
        <v>132</v>
      </c>
      <c r="K26" s="1"/>
    </row>
  </sheetData>
  <sortState xmlns:xlrd2="http://schemas.microsoft.com/office/spreadsheetml/2017/richdata2" ref="A2:K25">
    <sortCondition sortBy="cellColor" ref="I2:I25" dxfId="9"/>
    <sortCondition sortBy="cellColor" ref="I2:I25" dxfId="8"/>
    <sortCondition sortBy="cellColor" ref="I2:I25" dxfId="7"/>
    <sortCondition sortBy="cellColor" ref="I2:I25" dxfId="6"/>
    <sortCondition sortBy="cellColor" ref="I2:I25" dxfId="5"/>
    <sortCondition descending="1" ref="I2:I25"/>
  </sortState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1월 3주차</vt:lpstr>
      <vt:lpstr>2월 2주차</vt:lpstr>
      <vt:lpstr>2월 3주차</vt:lpstr>
      <vt:lpstr>2월 4주차</vt:lpstr>
      <vt:lpstr>3월 1주차</vt:lpstr>
      <vt:lpstr>3월 2주차</vt:lpstr>
      <vt:lpstr>3월 3주차</vt:lpstr>
      <vt:lpstr>3월 4주차</vt:lpstr>
      <vt:lpstr>4월 1주차</vt:lpstr>
      <vt:lpstr>4월 2주차</vt:lpstr>
      <vt:lpstr>4월 3주차</vt:lpstr>
      <vt:lpstr>4월 4주차</vt:lpstr>
      <vt:lpstr>5월 1주차</vt:lpstr>
      <vt:lpstr>5월 2주차</vt:lpstr>
      <vt:lpstr>5월 3주차</vt:lpstr>
      <vt:lpstr>5월 4주차</vt:lpstr>
      <vt:lpstr>5월 5주차</vt:lpstr>
      <vt:lpstr>6월 1주차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승민 손</dc:creator>
  <cp:lastModifiedBy>손승민</cp:lastModifiedBy>
  <dcterms:created xsi:type="dcterms:W3CDTF">2026-01-14T15:39:08Z</dcterms:created>
  <dcterms:modified xsi:type="dcterms:W3CDTF">2026-06-06T10:51:34Z</dcterms:modified>
</cp:coreProperties>
</file>