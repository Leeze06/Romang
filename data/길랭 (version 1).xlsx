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1CA587B7-B060-49D1-BD29-C8F0FDAC0B22}" xr6:coauthVersionLast="47" xr6:coauthVersionMax="47" xr10:uidLastSave="{00000000-0000-0000-0000-000000000000}"/>
  <bookViews>
    <workbookView xWindow="4170" yWindow="698" windowWidth="14220" windowHeight="12082" firstSheet="11" activeTab="16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23" l="1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20" i="23" a="1"/>
  <c r="I20" i="23" s="1"/>
  <c r="I19" i="23" a="1"/>
  <c r="I19" i="23" s="1"/>
  <c r="I18" i="23" a="1"/>
  <c r="I18" i="23" s="1"/>
  <c r="I17" i="23" a="1"/>
  <c r="I17" i="23" s="1"/>
  <c r="I3" i="23" a="1"/>
  <c r="I3" i="23" s="1"/>
  <c r="I16" i="23" a="1"/>
  <c r="I16" i="23" s="1"/>
  <c r="I15" i="23" a="1"/>
  <c r="I15" i="23" s="1"/>
  <c r="I10" i="23" a="1"/>
  <c r="I10" i="23" s="1"/>
  <c r="I9" i="23" a="1"/>
  <c r="I9" i="23" s="1"/>
  <c r="I13" i="23" a="1"/>
  <c r="I13" i="23" s="1"/>
  <c r="I12" i="23" a="1"/>
  <c r="I12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14" i="23" a="1"/>
  <c r="I14" i="23" s="1"/>
  <c r="I4" i="23" a="1"/>
  <c r="I4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6" i="22" a="1"/>
  <c r="I6" i="22" s="1"/>
  <c r="I17" i="22" a="1"/>
  <c r="I17" i="22" s="1"/>
  <c r="I19" i="22" a="1"/>
  <c r="I19" i="22" s="1"/>
  <c r="I18" i="22" a="1"/>
  <c r="I18" i="22" s="1"/>
  <c r="I5" i="22" a="1"/>
  <c r="I5" i="22" s="1"/>
  <c r="I2" i="22" a="1"/>
  <c r="I2" i="22" s="1"/>
  <c r="I16" i="22" a="1"/>
  <c r="I16" i="22" s="1"/>
  <c r="I3" i="22" a="1"/>
  <c r="I3" i="22" s="1"/>
  <c r="I15" i="22" a="1"/>
  <c r="I15" i="22" s="1"/>
  <c r="I13" i="22" a="1"/>
  <c r="I13" i="22" s="1"/>
  <c r="I12" i="22" a="1"/>
  <c r="I12" i="22" s="1"/>
  <c r="I11" i="22" a="1"/>
  <c r="I11" i="22" s="1"/>
  <c r="I10" i="22" a="1"/>
  <c r="I10" i="22" s="1"/>
  <c r="I9" i="22" a="1"/>
  <c r="I9" i="22" s="1"/>
  <c r="I7" i="22" a="1"/>
  <c r="I7" i="22" s="1"/>
  <c r="I14" i="22" a="1"/>
  <c r="I14" i="22" s="1"/>
  <c r="I8" i="22" a="1"/>
  <c r="I8" i="22" s="1"/>
  <c r="I4" i="22" a="1"/>
  <c r="I4" i="22" s="1"/>
  <c r="I20" i="19" a="1"/>
  <c r="I20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1" i="19" a="1"/>
  <c r="I21" i="19" s="1"/>
  <c r="I11" i="19" a="1"/>
  <c r="I11" i="19" s="1"/>
  <c r="I18" i="19" a="1"/>
  <c r="I18" i="19" s="1"/>
  <c r="I17" i="19" a="1"/>
  <c r="I17" i="19" s="1"/>
  <c r="I12" i="19" a="1"/>
  <c r="I12" i="19" s="1"/>
  <c r="I19" i="19" a="1"/>
  <c r="I19" i="19" s="1"/>
  <c r="I7" i="19" a="1"/>
  <c r="I7" i="19" s="1"/>
  <c r="I10" i="19" a="1"/>
  <c r="I10" i="19" s="1"/>
  <c r="I16" i="19" a="1"/>
  <c r="I16" i="19" s="1"/>
  <c r="I15" i="19" a="1"/>
  <c r="I15" i="19" s="1"/>
  <c r="I13" i="19" a="1"/>
  <c r="I13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4" i="19" a="1"/>
  <c r="I14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1" i="18" a="1"/>
  <c r="I21" i="18" s="1"/>
  <c r="I24" i="18" a="1"/>
  <c r="I24" i="18" s="1"/>
  <c r="I23" i="18" a="1"/>
  <c r="I23" i="18" s="1"/>
  <c r="I20" i="18" a="1"/>
  <c r="I20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19" i="18" a="1"/>
  <c r="I19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<sst xmlns="http://schemas.openxmlformats.org/spreadsheetml/2006/main" count="1763" uniqueCount="235">
  <si>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</si>
  <si>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</si>
  <si>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</si>
  <si>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</si>
  <si>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</si>
  <si>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</si>
  <si>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</si>
  <si>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</si>
  <si>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</si>
  <si>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</si>
  <si>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</si>
  <si>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</si>
  <si>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</si>
  <si>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</si>
  <si>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</si>
  <si>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</si>
  <si>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</si>
  <si>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</si>
  <si>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</si>
  <si>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</si>
  <si>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</si>
  <si>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</si>
  <si>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</si>
  <si>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</si>
  <si>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</si>
  <si>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</si>
  <si>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</si>
  <si>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</si>
  <si>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</si>
  <si>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</si>
  <si>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</si>
  <si>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</si>
  <si>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</si>
  <si>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</si>
  <si>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</si>
  <si>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</si>
  <si>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</si>
  <si>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</si>
  <si>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</si>
  <si>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</si>
  <si>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</si>
  <si>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</si>
  <si>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</si>
  <si>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</si>
  <si>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</si>
  <si>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</si>
  <si>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</si>
  <si>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</si>
  <si>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</si>
  <si>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</si>
  <si>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</si>
  <si>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</si>
  <si>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</si>
  <si>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</si>
  <si>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</si>
  <si>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</si>
  <si>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</si>
  <si>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</si>
  <si>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</si>
  <si>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</si>
  <si>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</si>
  <si>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</si>
  <si>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</si>
  <si>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</si>
  <si>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</si>
  <si>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</si>
  <si>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</si>
  <si>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</si>
  <si>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</si>
  <si>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</si>
  <si>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</si>
  <si>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</si>
  <si>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</si>
  <si>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</si>
  <si>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</si>
  <si>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</si>
  <si>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</si>
  <si>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</si>
  <si>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</si>
  <si>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</si>
  <si>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</si>
  <si>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</si>
  <si>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</si>
  <si>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</si>
  <si>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</si>
  <si>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</si>
  <si>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</si>
  <si>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</si>
  <si>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</si>
  <si>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</si>
  <si>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</si>
  <si>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</si>
  <si>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</si>
  <si>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</si>
  <si>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</si>
  <si>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</si>
  <si>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</si>
  <si>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</si>
  <si>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</si>
  <si>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</si>
  <si>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</si>
  <si>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</si>
  <si>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</si>
  <si>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</si>
  <si>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</si>
  <si>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</si>
  <si>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</si>
  <si>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</si>
  <si>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</si>
  <si>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</si>
  <si>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</si>
  <si>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</si>
  <si>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</si>
  <si>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</si>
  <si>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</si>
  <si>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</si>
  <si>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</si>
  <si>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</si>
  <si>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</si>
  <si>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</si>
  <si>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</si>
  <si>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</si>
  <si>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</si>
  <si>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</si>
  <si>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</si>
  <si>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</si>
  <si>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</si>
  <si>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</si>
  <si>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</si>
  <si>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</si>
  <si>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</si>
  <si>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</si>
  <si>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</si>
  <si>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</si>
  <si>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</si>
  <si>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</si>
  <si>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</si>
  <si>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</si>
  <si>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</si>
  <si>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</si>
  <si>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</si>
  <si>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</si>
  <si>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</si>
  <si>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</si>
  <si>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</si>
  <si>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</si>
  <si>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</si>
  <si>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</si>
  <si>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</si>
  <si>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</si>
  <si>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</si>
  <si>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</si>
  <si>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</si>
  <si>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</si>
  <si>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</si>
  <si>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</si>
  <si>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</si>
  <si>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</si>
  <si>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</si>
  <si>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</si>
  <si>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</si>
  <si>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</si>
  <si>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</si>
  <si>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</si>
  <si>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</si>
  <si>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</si>
  <si>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</si>
  <si>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</si>
  <si>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</si>
  <si>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</si>
  <si>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</si>
  <si>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</si>
  <si>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</si>
  <si>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</si>
  <si>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</si>
  <si>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</si>
  <si>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</si>
  <si>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</si>
  <si>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</si>
  <si>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</si>
  <si>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</si>
  <si>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</si>
  <si>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</si>
  <si>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</si>
  <si>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</si>
  <si>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</si>
  <si>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</si>
  <si>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</si>
  <si>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</si>
  <si>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</si>
  <si>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</si>
  <si>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</si>
  <si>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</si>
  <si>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</si>
  <si>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</si>
  <si>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</si>
  <si>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</si>
  <si>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</si>
  <si>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</si>
  <si>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</si>
  <si>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</si>
  <si>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</si>
  <si>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</si>
  <si>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</si>
  <si>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</si>
  <si>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</si>
  <si>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</si>
  <si>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</si>
  <si>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</si>
  <si>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</si>
  <si>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</si>
  <si>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</si>
  <si>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7 (29%)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</si>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</sst>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</cellXfs>
  <cellStyles count="1">
    <cellStyle name="표준" xfId="0" builtinId="0"/>
  </cellStyles>
  <dxfs count="64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59"/>
    <sortCondition sortBy="cellColor" ref="I2:I19" dxfId="58"/>
    <sortCondition sortBy="cellColor" ref="I2:I19" dxfId="57"/>
    <sortCondition sortBy="cellColor" ref="I2:I19" dxfId="56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55"/>
    <sortCondition sortBy="cellColor" ref="B2:B18" dxfId="54"/>
    <sortCondition sortBy="cellColor" ref="B2:B18" dxfId="53"/>
    <sortCondition sortBy="cellColor" ref="B2:B18" dxfId="5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51"/>
    <sortCondition sortBy="cellColor" ref="I2:I22" dxfId="50"/>
    <sortCondition sortBy="cellColor" ref="I2:I22" dxfId="49"/>
    <sortCondition sortBy="cellColor" ref="I2:I22" dxfId="48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A24" sqref="A24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224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47"/>
    <sortCondition sortBy="cellColor" ref="I2:I27" dxfId="46"/>
    <sortCondition sortBy="cellColor" ref="I2:I27" dxfId="45"/>
    <sortCondition sortBy="cellColor" ref="I2:I27" dxfId="44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221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225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43"/>
    <sortCondition sortBy="cellColor" ref="I2:I24" dxfId="42"/>
    <sortCondition sortBy="cellColor" ref="I2:I24" dxfId="41"/>
    <sortCondition sortBy="cellColor" ref="I2:I24" dxfId="40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221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225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39"/>
    <sortCondition sortBy="cellColor" ref="I2:I26" dxfId="38"/>
    <sortCondition sortBy="cellColor" ref="I2:I26" dxfId="37"/>
    <sortCondition sortBy="cellColor" ref="I2:I26" dxfId="36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221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225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35"/>
    <sortCondition sortBy="cellColor" ref="I2:I23" dxfId="34"/>
    <sortCondition sortBy="cellColor" ref="I2:I23" dxfId="33"/>
    <sortCondition sortBy="cellColor" ref="I2:I23" dxfId="32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221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223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225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31"/>
    <sortCondition sortBy="cellColor" ref="I2:I26" dxfId="30"/>
    <sortCondition sortBy="cellColor" ref="I2:I26" dxfId="29"/>
    <sortCondition sortBy="cellColor" ref="I2:I26" dxfId="28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221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223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227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27"/>
    <sortCondition sortBy="cellColor" ref="I2:I25" dxfId="26"/>
    <sortCondition sortBy="cellColor" ref="I2:I25" dxfId="25"/>
    <sortCondition sortBy="cellColor" ref="I2:I25" dxfId="24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223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226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221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23"/>
    <sortCondition sortBy="cellColor" ref="I2:I22" dxfId="22"/>
    <sortCondition sortBy="cellColor" ref="I2:I22" dxfId="21"/>
    <sortCondition sortBy="cellColor" ref="I2:I22" dxfId="20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K26" sqref="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223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226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221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19"/>
    <sortCondition sortBy="cellColor" ref="I2:I23" dxfId="18"/>
    <sortCondition sortBy="cellColor" ref="I2:I23" dxfId="17"/>
    <sortCondition sortBy="cellColor" ref="I2:I23" dxfId="16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I30" sqref="I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223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226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222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5"/>
    <sortCondition sortBy="cellColor" ref="I2:I25" dxfId="14"/>
    <sortCondition sortBy="cellColor" ref="I2:I25" dxfId="13"/>
    <sortCondition sortBy="cellColor" ref="I2:I25" dxfId="12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P7" sqref="P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223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226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222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221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4" t="s">
        <v>187</v>
      </c>
      <c r="B19" s="22"/>
      <c r="C19" s="22"/>
      <c r="D19" s="22" t="s">
        <v>48</v>
      </c>
      <c r="E19" s="22" t="s">
        <v>48</v>
      </c>
      <c r="F19" s="22"/>
      <c r="G19" s="22"/>
      <c r="H19" s="22"/>
      <c r="I19" s="19" t="str" cm="1">
        <f t="array" ref="I19">IF(COUNTA(B19:H19)=0,"0 (0%)",SUMPRODUCT(LEN(B19:H19))&amp;" ("&amp;TEXT(SUMPRODUCT(LEN(B19:H19)-LEN(SUBSTITUTE(B19:H19,"W","")))/SUMPRODUCT(LEN(B19:H19)),"0%")&amp;")")</f>
        <v>2 (0%)</v>
      </c>
      <c r="J19" s="22" t="s">
        <v>166</v>
      </c>
      <c r="K19" s="22" t="s">
        <v>45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(29%)</v>
      </c>
      <c r="J20" s="12" t="s">
        <v>186</v>
      </c>
      <c r="K20" s="5" t="s">
        <v>125</v>
      </c>
    </row>
    <row r="21" spans="1:11" x14ac:dyDescent="0.6">
      <c r="A21" s="26" t="s">
        <v>140</v>
      </c>
      <c r="B21" s="5"/>
      <c r="C21" s="5"/>
      <c r="D21" s="5"/>
      <c r="E21" s="5"/>
      <c r="F21" s="5" t="s">
        <v>47</v>
      </c>
      <c r="G21" s="5" t="s">
        <v>48</v>
      </c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183</v>
      </c>
      <c r="K21" s="5" t="s">
        <v>207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(47%)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1"/>
    <sortCondition sortBy="cellColor" ref="I2:I25" dxfId="10"/>
    <sortCondition sortBy="cellColor" ref="I2:I25" dxfId="9"/>
    <sortCondition descending="1" sortBy="cellColor" ref="I2:I25" dxfId="8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223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187</v>
      </c>
      <c r="B11" s="16" t="s">
        <v>47</v>
      </c>
      <c r="C11" s="16"/>
      <c r="D11" s="16" t="s">
        <v>47</v>
      </c>
      <c r="E11" s="16"/>
      <c r="F11" s="16" t="s">
        <v>47</v>
      </c>
      <c r="G11" s="16"/>
      <c r="H11" s="16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4 (100%)</v>
      </c>
      <c r="J11" s="16" t="s">
        <v>190</v>
      </c>
      <c r="K11" s="16"/>
    </row>
    <row r="12" spans="1:11" x14ac:dyDescent="0.6">
      <c r="A12" s="25" t="s">
        <v>19</v>
      </c>
      <c r="B12" s="7" t="s">
        <v>48</v>
      </c>
      <c r="C12" s="7"/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150</v>
      </c>
      <c r="K12" s="10" t="s">
        <v>169</v>
      </c>
    </row>
    <row r="13" spans="1:11" x14ac:dyDescent="0.6">
      <c r="A13" s="25" t="s">
        <v>141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7" t="s">
        <v>150</v>
      </c>
      <c r="K13" s="7"/>
    </row>
    <row r="14" spans="1:11" x14ac:dyDescent="0.6">
      <c r="A14" s="25" t="s">
        <v>55</v>
      </c>
      <c r="B14" s="7" t="s">
        <v>48</v>
      </c>
      <c r="C14" s="7" t="s">
        <v>48</v>
      </c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2 (0%)</v>
      </c>
      <c r="J14" s="16" t="s">
        <v>154</v>
      </c>
      <c r="K14" s="7"/>
    </row>
    <row r="15" spans="1:11" x14ac:dyDescent="0.6">
      <c r="A15" s="25" t="s">
        <v>198</v>
      </c>
      <c r="B15" s="7"/>
      <c r="C15" s="7"/>
      <c r="D15" s="7" t="s">
        <v>48</v>
      </c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166</v>
      </c>
      <c r="K15" s="7" t="s">
        <v>210</v>
      </c>
    </row>
    <row r="16" spans="1:11" x14ac:dyDescent="0.6">
      <c r="A16" s="25" t="s">
        <v>222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155</v>
      </c>
      <c r="K16" s="16" t="s">
        <v>188</v>
      </c>
    </row>
    <row r="17" spans="1:11" x14ac:dyDescent="0.6">
      <c r="A17" s="24" t="s">
        <v>221</v>
      </c>
      <c r="B17" s="9"/>
      <c r="C17" s="9" t="s">
        <v>47</v>
      </c>
      <c r="D17" s="9"/>
      <c r="E17" s="9" t="s">
        <v>47</v>
      </c>
      <c r="F17" s="9"/>
      <c r="G17" s="9" t="s">
        <v>48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4 (50%)</v>
      </c>
      <c r="J17" s="22" t="s">
        <v>150</v>
      </c>
      <c r="K17" s="9" t="s">
        <v>43</v>
      </c>
    </row>
    <row r="18" spans="1:11" x14ac:dyDescent="0.6">
      <c r="A18" s="24" t="s">
        <v>18</v>
      </c>
      <c r="B18" s="9"/>
      <c r="C18" s="9" t="s">
        <v>48</v>
      </c>
      <c r="D18" s="9" t="s">
        <v>48</v>
      </c>
      <c r="E18" s="9"/>
      <c r="F18" s="9"/>
      <c r="G18" s="9" t="s">
        <v>48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3 (0%)</v>
      </c>
      <c r="J18" s="22" t="s">
        <v>167</v>
      </c>
      <c r="K18" s="9" t="s">
        <v>104</v>
      </c>
    </row>
    <row r="19" spans="1:11" x14ac:dyDescent="0.6">
      <c r="A19" s="24" t="s">
        <v>7</v>
      </c>
      <c r="B19" s="9"/>
      <c r="C19" s="9" t="s">
        <v>48</v>
      </c>
      <c r="D19" s="9"/>
      <c r="E19" s="9"/>
      <c r="F19" s="9"/>
      <c r="G19" s="9" t="s">
        <v>47</v>
      </c>
      <c r="H19" s="9"/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149</v>
      </c>
      <c r="K19" s="27" t="s">
        <v>69</v>
      </c>
    </row>
    <row r="20" spans="1:11" x14ac:dyDescent="0.6">
      <c r="A20" s="24" t="s">
        <v>208</v>
      </c>
      <c r="B20" s="9"/>
      <c r="C20" s="9"/>
      <c r="D20" s="9"/>
      <c r="E20" s="9"/>
      <c r="F20" s="9"/>
      <c r="G20" s="9" t="s">
        <v>47</v>
      </c>
      <c r="H20" s="9" t="s">
        <v>48</v>
      </c>
      <c r="I20" s="19" t="str" cm="1">
        <f t="array" ref="I20">IF(COUNTA(B20:H20)=0,"0 (0%)",SUMPRODUCT(LEN(B20:H20))&amp;" ("&amp;TEXT(SUMPRODUCT(LEN(B20:H20)-LEN(SUBSTITUTE(B20:H20,"W","")))/SUMPRODUCT(LEN(B20:H20)),"0%")&amp;")")</f>
        <v>2 (50%)</v>
      </c>
      <c r="J20" s="22" t="s">
        <v>166</v>
      </c>
      <c r="K20" s="9" t="s">
        <v>209</v>
      </c>
    </row>
    <row r="21" spans="1:11" x14ac:dyDescent="0.6">
      <c r="A21" s="26" t="s">
        <v>2</v>
      </c>
      <c r="B21" s="5" t="s">
        <v>48</v>
      </c>
      <c r="C21" s="5" t="s">
        <v>47</v>
      </c>
      <c r="D21" s="5" t="s">
        <v>47</v>
      </c>
      <c r="E21" s="5" t="s">
        <v>48</v>
      </c>
      <c r="F21" s="5" t="s">
        <v>47</v>
      </c>
      <c r="G21" s="5" t="s">
        <v>47</v>
      </c>
      <c r="H21" s="5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7 (71%)</v>
      </c>
      <c r="J21" s="12" t="s">
        <v>212</v>
      </c>
      <c r="K21" s="5" t="s">
        <v>125</v>
      </c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7"/>
    <sortCondition sortBy="cellColor" ref="I2:I26" dxfId="6"/>
    <sortCondition sortBy="cellColor" ref="I2:I26" dxfId="5"/>
    <sortCondition sortBy="cellColor" ref="I2:I26" dxfId="4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I31" sqref="I31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213</v>
      </c>
      <c r="C1" s="13" t="s">
        <v>214</v>
      </c>
      <c r="D1" s="13" t="s">
        <v>215</v>
      </c>
      <c r="E1" s="13" t="s">
        <v>216</v>
      </c>
      <c r="F1" s="13" t="s">
        <v>217</v>
      </c>
      <c r="G1" s="13" t="s">
        <v>218</v>
      </c>
      <c r="H1" s="13" t="s">
        <v>219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187</v>
      </c>
      <c r="B3" s="21" t="s">
        <v>47</v>
      </c>
      <c r="C3" s="21" t="s">
        <v>47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165</v>
      </c>
      <c r="K3" s="21"/>
    </row>
    <row r="4" spans="1:11" x14ac:dyDescent="0.6">
      <c r="A4" s="23" t="s">
        <v>223</v>
      </c>
      <c r="B4" s="3" t="s">
        <v>48</v>
      </c>
      <c r="C4" s="3"/>
      <c r="D4" s="3" t="s">
        <v>48</v>
      </c>
      <c r="E4" s="3" t="s">
        <v>48</v>
      </c>
      <c r="F4" s="3" t="s">
        <v>48</v>
      </c>
      <c r="G4" s="3" t="s">
        <v>47</v>
      </c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162</v>
      </c>
      <c r="K4" s="3" t="s">
        <v>44</v>
      </c>
    </row>
    <row r="5" spans="1:11" x14ac:dyDescent="0.6">
      <c r="A5" s="23" t="s">
        <v>33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146</v>
      </c>
      <c r="K5" s="3" t="s">
        <v>41</v>
      </c>
    </row>
    <row r="6" spans="1:11" x14ac:dyDescent="0.6">
      <c r="A6" s="23" t="s">
        <v>208</v>
      </c>
      <c r="B6" s="3" t="s">
        <v>48</v>
      </c>
      <c r="C6" s="3" t="s">
        <v>47</v>
      </c>
      <c r="D6" s="3"/>
      <c r="E6" s="3" t="s">
        <v>47</v>
      </c>
      <c r="F6" s="3"/>
      <c r="G6" s="3" t="s">
        <v>48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155</v>
      </c>
      <c r="K6" s="3"/>
    </row>
    <row r="7" spans="1:11" x14ac:dyDescent="0.6">
      <c r="A7" s="23" t="s">
        <v>12</v>
      </c>
      <c r="B7" s="3" t="s">
        <v>48</v>
      </c>
      <c r="C7" s="3" t="s">
        <v>47</v>
      </c>
      <c r="D7" s="3" t="s">
        <v>48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121</v>
      </c>
      <c r="B8" s="3" t="s">
        <v>48</v>
      </c>
      <c r="C8" s="3" t="s">
        <v>48</v>
      </c>
      <c r="D8" s="3" t="s">
        <v>47</v>
      </c>
      <c r="E8" s="3"/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146</v>
      </c>
      <c r="K8" s="3"/>
    </row>
    <row r="9" spans="1:11" x14ac:dyDescent="0.6">
      <c r="A9" s="23" t="s">
        <v>38</v>
      </c>
      <c r="B9" s="3" t="s">
        <v>47</v>
      </c>
      <c r="C9" s="3" t="s">
        <v>48</v>
      </c>
      <c r="D9" s="3"/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109</v>
      </c>
      <c r="B10" s="3"/>
      <c r="C10" s="3" t="s">
        <v>48</v>
      </c>
      <c r="D10" s="3"/>
      <c r="E10" s="3" t="s">
        <v>48</v>
      </c>
      <c r="F10" s="3" t="s">
        <v>48</v>
      </c>
      <c r="G10" s="3" t="s">
        <v>48</v>
      </c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(0%)</v>
      </c>
      <c r="J10" s="21" t="s">
        <v>164</v>
      </c>
      <c r="K10" s="3"/>
    </row>
    <row r="11" spans="1:11" x14ac:dyDescent="0.6">
      <c r="A11" s="25" t="s">
        <v>9</v>
      </c>
      <c r="B11" s="7"/>
      <c r="C11" s="7" t="s">
        <v>47</v>
      </c>
      <c r="D11" s="7" t="s">
        <v>48</v>
      </c>
      <c r="E11" s="7" t="s">
        <v>48</v>
      </c>
      <c r="F11" s="7"/>
      <c r="G11" s="7" t="s">
        <v>48</v>
      </c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4 (25%)</v>
      </c>
      <c r="J11" s="16" t="s">
        <v>147</v>
      </c>
      <c r="K11" s="7"/>
    </row>
    <row r="12" spans="1:11" x14ac:dyDescent="0.6">
      <c r="A12" s="25" t="s">
        <v>32</v>
      </c>
      <c r="B12" s="7" t="s">
        <v>48</v>
      </c>
      <c r="C12" s="7"/>
      <c r="D12" s="7" t="s">
        <v>48</v>
      </c>
      <c r="E12" s="7"/>
      <c r="F12" s="7"/>
      <c r="G12" s="7" t="s">
        <v>48</v>
      </c>
      <c r="H12" s="7" t="s">
        <v>48</v>
      </c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147</v>
      </c>
      <c r="K12" s="7"/>
    </row>
    <row r="13" spans="1:11" x14ac:dyDescent="0.6">
      <c r="A13" s="25" t="s">
        <v>19</v>
      </c>
      <c r="B13" s="7"/>
      <c r="C13" s="7" t="s">
        <v>47</v>
      </c>
      <c r="D13" s="7"/>
      <c r="E13" s="7" t="s">
        <v>48</v>
      </c>
      <c r="F13" s="7" t="s">
        <v>48</v>
      </c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150</v>
      </c>
      <c r="K13" s="10" t="s">
        <v>169</v>
      </c>
    </row>
    <row r="14" spans="1:11" x14ac:dyDescent="0.6">
      <c r="A14" s="25" t="s">
        <v>5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147</v>
      </c>
      <c r="K14" s="7"/>
    </row>
    <row r="15" spans="1:11" x14ac:dyDescent="0.6">
      <c r="A15" s="25" t="s">
        <v>141</v>
      </c>
      <c r="B15" s="7"/>
      <c r="C15" s="7"/>
      <c r="D15" s="7" t="s">
        <v>48</v>
      </c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7" t="s">
        <v>148</v>
      </c>
      <c r="K15" s="7"/>
    </row>
    <row r="16" spans="1:11" x14ac:dyDescent="0.6">
      <c r="A16" s="25" t="s">
        <v>55</v>
      </c>
      <c r="B16" s="7"/>
      <c r="C16" s="7"/>
      <c r="D16" s="7"/>
      <c r="E16" s="7"/>
      <c r="F16" s="7"/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190</v>
      </c>
      <c r="K16" s="7"/>
    </row>
    <row r="17" spans="1:11" x14ac:dyDescent="0.6">
      <c r="A17" s="24" t="s">
        <v>7</v>
      </c>
      <c r="B17" s="9" t="s">
        <v>47</v>
      </c>
      <c r="C17" s="9"/>
      <c r="D17" s="9" t="s">
        <v>48</v>
      </c>
      <c r="E17" s="9"/>
      <c r="F17" s="9" t="s">
        <v>48</v>
      </c>
      <c r="G17" s="9"/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4 (25%)</v>
      </c>
      <c r="J17" s="22" t="s">
        <v>155</v>
      </c>
      <c r="K17" s="27" t="s">
        <v>69</v>
      </c>
    </row>
    <row r="18" spans="1:11" x14ac:dyDescent="0.6">
      <c r="A18" s="24" t="s">
        <v>221</v>
      </c>
      <c r="B18" s="9"/>
      <c r="C18" s="9"/>
      <c r="D18" s="9"/>
      <c r="E18" s="9" t="s">
        <v>47</v>
      </c>
      <c r="F18" s="9"/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149</v>
      </c>
      <c r="K18" s="9" t="s">
        <v>43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/>
      <c r="H19" s="9"/>
      <c r="I19" s="19" t="str" cm="1">
        <f t="array" ref="I19">IF(COUNTA(B19:H19)=0,"0 (0%)",SUMPRODUCT(LEN(B19:H19))&amp;" ("&amp;TEXT(SUMPRODUCT(LEN(B19:H19)-LEN(SUBSTITUTE(B19:H19,"W","")))/SUMPRODUCT(LEN(B19:H19)),"0%")&amp;")")</f>
        <v>0 (0%)</v>
      </c>
      <c r="J19" s="22" t="s">
        <v>153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220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"/>
    <sortCondition sortBy="cellColor" ref="I2:I25" dxfId="2"/>
    <sortCondition sortBy="cellColor" ref="I2:I25" dxfId="1"/>
    <sortCondition sortBy="cellColor" ref="I2:I25" dxfId="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tabSelected="1" zoomScale="75" workbookViewId="0">
      <selection activeCell="D15" sqref="D1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228</v>
      </c>
      <c r="C1" s="13" t="s">
        <v>229</v>
      </c>
      <c r="D1" s="10" t="s">
        <v>230</v>
      </c>
      <c r="E1" s="13" t="s">
        <v>231</v>
      </c>
      <c r="F1" s="13" t="s">
        <v>232</v>
      </c>
      <c r="G1" s="13" t="s">
        <v>233</v>
      </c>
      <c r="H1" s="13" t="s">
        <v>234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223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166</v>
      </c>
      <c r="K3" s="3"/>
    </row>
    <row r="4" spans="1:11" x14ac:dyDescent="0.6">
      <c r="A4" s="23" t="s">
        <v>222</v>
      </c>
      <c r="B4" s="21" t="s">
        <v>48</v>
      </c>
      <c r="C4" s="21" t="s">
        <v>48</v>
      </c>
      <c r="D4" s="21" t="s">
        <v>47</v>
      </c>
      <c r="E4" s="21" t="s">
        <v>47</v>
      </c>
      <c r="F4" s="21" t="s">
        <v>48</v>
      </c>
      <c r="G4" s="21" t="s">
        <v>47</v>
      </c>
      <c r="H4" s="21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7 (43%)</v>
      </c>
      <c r="J4" s="21" t="s">
        <v>143</v>
      </c>
      <c r="K4" s="21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5" t="s">
        <v>121</v>
      </c>
      <c r="B7" s="7" t="s">
        <v>47</v>
      </c>
      <c r="C7" s="7"/>
      <c r="D7" s="7" t="s">
        <v>47</v>
      </c>
      <c r="E7" s="7" t="s">
        <v>48</v>
      </c>
      <c r="F7" s="7" t="s">
        <v>47</v>
      </c>
      <c r="G7" s="7"/>
      <c r="H7" s="7" t="s">
        <v>47</v>
      </c>
      <c r="I7" s="18" t="str" cm="1">
        <f t="array" ref="I7">IF(COUNTA(B7:H7)=0,"0 (0%)",SUMPRODUCT(LEN(B7:H7))&amp;" ("&amp;TEXT(SUMPRODUCT(LEN(B7:H7)-LEN(SUBSTITUTE(B7:H7,"W","")))/SUMPRODUCT(LEN(B7:H7)),"0%")&amp;")")</f>
        <v>5 (80%)</v>
      </c>
      <c r="J7" s="16" t="s">
        <v>146</v>
      </c>
      <c r="K7" s="7"/>
    </row>
    <row r="8" spans="1:11" x14ac:dyDescent="0.6">
      <c r="A8" s="25" t="s">
        <v>38</v>
      </c>
      <c r="B8" s="7" t="s">
        <v>48</v>
      </c>
      <c r="C8" s="7" t="s">
        <v>47</v>
      </c>
      <c r="D8" s="7"/>
      <c r="E8" s="7" t="s">
        <v>48</v>
      </c>
      <c r="F8" s="7" t="s">
        <v>47</v>
      </c>
      <c r="G8" s="7"/>
      <c r="H8" s="7" t="s">
        <v>48</v>
      </c>
      <c r="I8" s="18" t="str" cm="1">
        <f t="array" ref="I8">IF(COUNTA(B8:H8)=0,"0 (0%)",SUMPRODUCT(LEN(B8:H8))&amp;" ("&amp;TEXT(SUMPRODUCT(LEN(B8:H8)-LEN(SUBSTITUTE(B8:H8,"W","")))/SUMPRODUCT(LEN(B8:H8)),"0%")&amp;")")</f>
        <v>5 (40%)</v>
      </c>
      <c r="J8" s="16" t="s">
        <v>147</v>
      </c>
      <c r="K8" s="7"/>
    </row>
    <row r="9" spans="1:11" x14ac:dyDescent="0.6">
      <c r="A9" s="25" t="s">
        <v>32</v>
      </c>
      <c r="B9" s="7" t="s">
        <v>48</v>
      </c>
      <c r="C9" s="7" t="s">
        <v>47</v>
      </c>
      <c r="D9" s="7" t="s">
        <v>47</v>
      </c>
      <c r="E9" s="7"/>
      <c r="F9" s="7" t="s">
        <v>48</v>
      </c>
      <c r="G9" s="7"/>
      <c r="H9" s="7" t="s">
        <v>48</v>
      </c>
      <c r="I9" s="18" t="str" cm="1">
        <f t="array" ref="I9">IF(COUNTA(B9:H9)=0,"0 (0%)",SUMPRODUCT(LEN(B9:H9))&amp;" ("&amp;TEXT(SUMPRODUCT(LEN(B9:H9)-LEN(SUBSTITUTE(B9:H9,"W","")))/SUMPRODUCT(LEN(B9:H9)),"0%")&amp;")")</f>
        <v>5 (40%)</v>
      </c>
      <c r="J9" s="16" t="s">
        <v>185</v>
      </c>
      <c r="K9" s="7"/>
    </row>
    <row r="10" spans="1:11" x14ac:dyDescent="0.6">
      <c r="A10" s="25" t="s">
        <v>19</v>
      </c>
      <c r="B10" s="7"/>
      <c r="C10" s="7" t="s">
        <v>48</v>
      </c>
      <c r="D10" s="7"/>
      <c r="E10" s="7" t="s">
        <v>48</v>
      </c>
      <c r="F10" s="7" t="s">
        <v>48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(0%)</v>
      </c>
      <c r="J10" s="16" t="s">
        <v>148</v>
      </c>
      <c r="K10" s="10" t="s">
        <v>169</v>
      </c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109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181</v>
      </c>
      <c r="K12" s="7"/>
    </row>
    <row r="13" spans="1:11" x14ac:dyDescent="0.6">
      <c r="A13" s="25" t="s">
        <v>9</v>
      </c>
      <c r="B13" s="7"/>
      <c r="C13" s="7" t="s">
        <v>47</v>
      </c>
      <c r="D13" s="7"/>
      <c r="E13" s="7"/>
      <c r="F13" s="7" t="s">
        <v>47</v>
      </c>
      <c r="G13" s="7" t="s">
        <v>47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(75%)</v>
      </c>
      <c r="J13" s="16" t="s">
        <v>152</v>
      </c>
      <c r="K13" s="7"/>
    </row>
    <row r="14" spans="1:11" x14ac:dyDescent="0.6">
      <c r="A14" s="25" t="s">
        <v>187</v>
      </c>
      <c r="B14" s="16"/>
      <c r="C14" s="16" t="s">
        <v>48</v>
      </c>
      <c r="D14" s="16"/>
      <c r="E14" s="16"/>
      <c r="F14" s="16"/>
      <c r="G14" s="16"/>
      <c r="H14" s="16" t="s">
        <v>47</v>
      </c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220</v>
      </c>
      <c r="K14" s="16"/>
    </row>
    <row r="15" spans="1:11" x14ac:dyDescent="0.6">
      <c r="A15" s="25" t="s">
        <v>5</v>
      </c>
      <c r="B15" s="7" t="s">
        <v>48</v>
      </c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168</v>
      </c>
      <c r="K15" s="7"/>
    </row>
    <row r="16" spans="1:11" x14ac:dyDescent="0.6">
      <c r="A16" s="25" t="s">
        <v>141</v>
      </c>
      <c r="B16" s="7" t="s">
        <v>48</v>
      </c>
      <c r="C16" s="7"/>
      <c r="D16" s="7"/>
      <c r="E16" s="7"/>
      <c r="F16" s="7"/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1 (0%)</v>
      </c>
      <c r="J16" s="7" t="s">
        <v>168</v>
      </c>
      <c r="K16" s="7"/>
    </row>
    <row r="17" spans="1:11" x14ac:dyDescent="0.6">
      <c r="A17" s="24" t="s">
        <v>7</v>
      </c>
      <c r="B17" s="9"/>
      <c r="C17" s="9" t="s">
        <v>48</v>
      </c>
      <c r="D17" s="9"/>
      <c r="E17" s="9" t="s">
        <v>47</v>
      </c>
      <c r="F17" s="9"/>
      <c r="G17" s="9" t="s">
        <v>47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152</v>
      </c>
      <c r="K17" s="27" t="s">
        <v>69</v>
      </c>
    </row>
    <row r="18" spans="1:11" x14ac:dyDescent="0.6">
      <c r="A18" s="24" t="s">
        <v>221</v>
      </c>
      <c r="B18" s="9"/>
      <c r="C18" s="9" t="s">
        <v>48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(67%)</v>
      </c>
      <c r="J18" s="22" t="s">
        <v>167</v>
      </c>
      <c r="K18" s="9" t="s">
        <v>43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/>
      <c r="H19" s="9"/>
      <c r="I19" s="19" t="str" cm="1">
        <f t="array" ref="I19">IF(COUNTA(B19:H19)=0,"0 (0%)",SUMPRODUCT(LEN(B19:H19))&amp;" ("&amp;TEXT(SUMPRODUCT(LEN(B19:H19)-LEN(SUBSTITUTE(B19:H19,"W","")))/SUMPRODUCT(LEN(B19:H19)),"0%")&amp;")")</f>
        <v>0 (0%)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186</v>
      </c>
      <c r="K20" s="5" t="s">
        <v>125</v>
      </c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63"/>
    <sortCondition sortBy="cellColor" ref="I2:I25" dxfId="62"/>
    <sortCondition sortBy="cellColor" ref="I2:I25" dxfId="61"/>
    <sortCondition sortBy="cellColor" ref="I2:I25" dxfId="6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승민 손</cp:lastModifiedBy>
  <dcterms:created xsi:type="dcterms:W3CDTF">2026-01-14T15:39:08Z</dcterms:created>
  <dcterms:modified xsi:type="dcterms:W3CDTF">2026-05-31T12:35:57Z</dcterms:modified>
</cp:coreProperties>
</file>